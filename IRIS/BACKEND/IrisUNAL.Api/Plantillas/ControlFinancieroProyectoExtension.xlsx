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S\UNIVERSIDAD_NACIONAL\IRIS\Back-End\IrisUNAL.Api\Plantillas\"/>
    </mc:Choice>
  </mc:AlternateContent>
  <xr:revisionPtr revIDLastSave="0" documentId="8_{10A3EE8D-F4D2-4F88-A99B-067504988A25}" xr6:coauthVersionLast="47" xr6:coauthVersionMax="47" xr10:uidLastSave="{00000000-0000-0000-0000-000000000000}"/>
  <bookViews>
    <workbookView xWindow="-38520" yWindow="-105" windowWidth="38640" windowHeight="21240" xr2:uid="{0C001280-3BCB-4A85-8E7B-127D544FD8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93" i="1" l="1"/>
  <c r="V392" i="1"/>
  <c r="V391" i="1"/>
  <c r="P391" i="1"/>
  <c r="W391" i="1" s="1"/>
  <c r="N391" i="1"/>
  <c r="V390" i="1"/>
  <c r="V389" i="1"/>
  <c r="V388" i="1"/>
  <c r="P388" i="1"/>
  <c r="W388" i="1" s="1"/>
  <c r="N388" i="1"/>
  <c r="S384" i="1"/>
  <c r="S385" i="1" s="1"/>
  <c r="V381" i="1"/>
  <c r="V380" i="1"/>
  <c r="V379" i="1"/>
  <c r="P379" i="1"/>
  <c r="W379" i="1" s="1"/>
  <c r="N379" i="1"/>
  <c r="V378" i="1"/>
  <c r="V377" i="1"/>
  <c r="V376" i="1"/>
  <c r="W376" i="1" s="1"/>
  <c r="P376" i="1"/>
  <c r="N376" i="1"/>
  <c r="S372" i="1"/>
  <c r="S373" i="1" s="1"/>
  <c r="V368" i="1"/>
  <c r="V367" i="1"/>
  <c r="V366" i="1"/>
  <c r="W366" i="1" s="1"/>
  <c r="P366" i="1"/>
  <c r="N366" i="1"/>
  <c r="V365" i="1"/>
  <c r="V364" i="1"/>
  <c r="V363" i="1"/>
  <c r="P363" i="1"/>
  <c r="W363" i="1" s="1"/>
  <c r="N363" i="1"/>
  <c r="S359" i="1"/>
  <c r="S360" i="1" s="1"/>
  <c r="V355" i="1"/>
  <c r="V354" i="1"/>
  <c r="V353" i="1"/>
  <c r="P353" i="1"/>
  <c r="W353" i="1" s="1"/>
  <c r="N353" i="1"/>
  <c r="V352" i="1"/>
  <c r="V351" i="1"/>
  <c r="V350" i="1"/>
  <c r="P350" i="1"/>
  <c r="W350" i="1" s="1"/>
  <c r="N350" i="1"/>
  <c r="S346" i="1"/>
  <c r="S347" i="1" s="1"/>
  <c r="V343" i="1"/>
  <c r="V342" i="1"/>
  <c r="V341" i="1"/>
  <c r="P341" i="1"/>
  <c r="W341" i="1" s="1"/>
  <c r="N341" i="1"/>
  <c r="V340" i="1"/>
  <c r="V339" i="1"/>
  <c r="V338" i="1"/>
  <c r="P338" i="1"/>
  <c r="W338" i="1" s="1"/>
  <c r="N338" i="1"/>
  <c r="S334" i="1"/>
  <c r="S335" i="1" s="1"/>
  <c r="V331" i="1"/>
  <c r="V330" i="1"/>
  <c r="V329" i="1"/>
  <c r="P329" i="1"/>
  <c r="W329" i="1" s="1"/>
  <c r="N329" i="1"/>
  <c r="V328" i="1"/>
  <c r="V327" i="1"/>
  <c r="V326" i="1"/>
  <c r="W326" i="1" s="1"/>
  <c r="P326" i="1"/>
  <c r="N326" i="1"/>
  <c r="S322" i="1"/>
  <c r="S323" i="1" s="1"/>
  <c r="V319" i="1"/>
  <c r="V318" i="1"/>
  <c r="V317" i="1"/>
  <c r="W317" i="1" s="1"/>
  <c r="P317" i="1"/>
  <c r="N317" i="1"/>
  <c r="V316" i="1"/>
  <c r="V315" i="1"/>
  <c r="V314" i="1"/>
  <c r="P314" i="1"/>
  <c r="W314" i="1" s="1"/>
  <c r="N314" i="1"/>
  <c r="S310" i="1"/>
  <c r="S311" i="1" s="1"/>
  <c r="V307" i="1"/>
  <c r="V306" i="1"/>
  <c r="V305" i="1"/>
  <c r="P305" i="1"/>
  <c r="W305" i="1" s="1"/>
  <c r="N305" i="1"/>
  <c r="V304" i="1"/>
  <c r="V303" i="1"/>
  <c r="V302" i="1"/>
  <c r="P302" i="1"/>
  <c r="W302" i="1" s="1"/>
  <c r="N302" i="1"/>
  <c r="S298" i="1"/>
  <c r="S299" i="1" s="1"/>
  <c r="V295" i="1"/>
  <c r="V294" i="1"/>
  <c r="V293" i="1"/>
  <c r="P293" i="1"/>
  <c r="W293" i="1" s="1"/>
  <c r="N293" i="1"/>
  <c r="V292" i="1"/>
  <c r="V291" i="1"/>
  <c r="V290" i="1"/>
  <c r="P290" i="1"/>
  <c r="W290" i="1" s="1"/>
  <c r="N290" i="1"/>
  <c r="S286" i="1"/>
  <c r="S287" i="1" s="1"/>
  <c r="V283" i="1"/>
  <c r="V282" i="1"/>
  <c r="V281" i="1"/>
  <c r="P281" i="1"/>
  <c r="W281" i="1" s="1"/>
  <c r="N281" i="1"/>
  <c r="V280" i="1"/>
  <c r="V279" i="1"/>
  <c r="V278" i="1"/>
  <c r="W278" i="1" s="1"/>
  <c r="P278" i="1"/>
  <c r="N278" i="1"/>
  <c r="S274" i="1"/>
  <c r="S275" i="1" s="1"/>
  <c r="V271" i="1"/>
  <c r="V270" i="1"/>
  <c r="V269" i="1"/>
  <c r="W269" i="1" s="1"/>
  <c r="P269" i="1"/>
  <c r="N269" i="1"/>
  <c r="V268" i="1"/>
  <c r="V267" i="1"/>
  <c r="V266" i="1"/>
  <c r="P266" i="1"/>
  <c r="W266" i="1" s="1"/>
  <c r="N266" i="1"/>
  <c r="S262" i="1"/>
  <c r="S263" i="1" s="1"/>
  <c r="V259" i="1"/>
  <c r="V258" i="1"/>
  <c r="V257" i="1"/>
  <c r="P257" i="1"/>
  <c r="W257" i="1" s="1"/>
  <c r="N257" i="1"/>
  <c r="V256" i="1"/>
  <c r="V255" i="1"/>
  <c r="V254" i="1"/>
  <c r="P254" i="1"/>
  <c r="W254" i="1" s="1"/>
  <c r="N254" i="1"/>
  <c r="S250" i="1"/>
  <c r="S251" i="1" s="1"/>
  <c r="V247" i="1"/>
  <c r="V246" i="1"/>
  <c r="V245" i="1"/>
  <c r="P245" i="1"/>
  <c r="W245" i="1" s="1"/>
  <c r="N245" i="1"/>
  <c r="V244" i="1"/>
  <c r="V243" i="1"/>
  <c r="V242" i="1"/>
  <c r="P242" i="1"/>
  <c r="W242" i="1" s="1"/>
  <c r="N242" i="1"/>
  <c r="S238" i="1"/>
  <c r="S239" i="1" s="1"/>
  <c r="V235" i="1"/>
  <c r="V234" i="1"/>
  <c r="V233" i="1"/>
  <c r="P233" i="1"/>
  <c r="W233" i="1" s="1"/>
  <c r="N233" i="1"/>
  <c r="V232" i="1"/>
  <c r="V231" i="1"/>
  <c r="V230" i="1"/>
  <c r="W230" i="1" s="1"/>
  <c r="P230" i="1"/>
  <c r="N230" i="1"/>
  <c r="S226" i="1"/>
  <c r="S227" i="1" s="1"/>
  <c r="V223" i="1"/>
  <c r="V222" i="1"/>
  <c r="V221" i="1"/>
  <c r="W221" i="1" s="1"/>
  <c r="P221" i="1"/>
  <c r="N221" i="1"/>
  <c r="V220" i="1"/>
  <c r="V219" i="1"/>
  <c r="V218" i="1"/>
  <c r="P218" i="1"/>
  <c r="W218" i="1" s="1"/>
  <c r="N218" i="1"/>
  <c r="S214" i="1"/>
  <c r="S215" i="1" s="1"/>
  <c r="V211" i="1"/>
  <c r="V210" i="1"/>
  <c r="V209" i="1"/>
  <c r="P209" i="1"/>
  <c r="W209" i="1" s="1"/>
  <c r="N209" i="1"/>
  <c r="V208" i="1"/>
  <c r="V207" i="1"/>
  <c r="V206" i="1"/>
  <c r="P206" i="1"/>
  <c r="W206" i="1" s="1"/>
  <c r="N206" i="1"/>
  <c r="S202" i="1"/>
  <c r="S203" i="1" s="1"/>
  <c r="V199" i="1"/>
  <c r="V198" i="1"/>
  <c r="V197" i="1"/>
  <c r="P197" i="1"/>
  <c r="W197" i="1" s="1"/>
  <c r="N197" i="1"/>
  <c r="V196" i="1"/>
  <c r="V195" i="1"/>
  <c r="V194" i="1"/>
  <c r="P194" i="1"/>
  <c r="W194" i="1" s="1"/>
  <c r="N194" i="1"/>
  <c r="S190" i="1"/>
  <c r="S191" i="1" s="1"/>
  <c r="V187" i="1"/>
  <c r="V186" i="1"/>
  <c r="V185" i="1"/>
  <c r="P185" i="1"/>
  <c r="W185" i="1" s="1"/>
  <c r="N185" i="1"/>
  <c r="V184" i="1"/>
  <c r="V183" i="1"/>
  <c r="V182" i="1"/>
  <c r="W182" i="1" s="1"/>
  <c r="P182" i="1"/>
  <c r="N182" i="1"/>
  <c r="S178" i="1"/>
  <c r="S179" i="1" s="1"/>
  <c r="V175" i="1"/>
  <c r="V174" i="1"/>
  <c r="V173" i="1"/>
  <c r="W173" i="1" s="1"/>
  <c r="P173" i="1"/>
  <c r="N173" i="1"/>
  <c r="V172" i="1"/>
  <c r="V171" i="1"/>
  <c r="V170" i="1"/>
  <c r="P170" i="1"/>
  <c r="W170" i="1" s="1"/>
  <c r="N170" i="1"/>
  <c r="S166" i="1"/>
  <c r="S167" i="1" s="1"/>
  <c r="V162" i="1"/>
  <c r="V161" i="1"/>
  <c r="V160" i="1"/>
  <c r="P160" i="1"/>
  <c r="W160" i="1" s="1"/>
  <c r="N160" i="1"/>
  <c r="V159" i="1"/>
  <c r="V158" i="1"/>
  <c r="V157" i="1"/>
  <c r="P157" i="1"/>
  <c r="W157" i="1" s="1"/>
  <c r="N157" i="1"/>
  <c r="S153" i="1"/>
  <c r="S154" i="1" s="1"/>
  <c r="V150" i="1"/>
  <c r="V149" i="1"/>
  <c r="V148" i="1"/>
  <c r="P148" i="1"/>
  <c r="W148" i="1" s="1"/>
  <c r="N148" i="1"/>
  <c r="V147" i="1"/>
  <c r="V146" i="1"/>
  <c r="V145" i="1"/>
  <c r="P145" i="1"/>
  <c r="W145" i="1" s="1"/>
  <c r="N145" i="1"/>
  <c r="S141" i="1"/>
  <c r="S142" i="1" s="1"/>
  <c r="V138" i="1"/>
  <c r="V137" i="1"/>
  <c r="V136" i="1"/>
  <c r="P136" i="1"/>
  <c r="W136" i="1" s="1"/>
  <c r="N136" i="1"/>
  <c r="V135" i="1"/>
  <c r="V134" i="1"/>
  <c r="V133" i="1"/>
  <c r="W133" i="1" s="1"/>
  <c r="P133" i="1"/>
  <c r="N133" i="1"/>
  <c r="S129" i="1"/>
  <c r="S130" i="1" s="1"/>
  <c r="V126" i="1"/>
  <c r="V125" i="1"/>
  <c r="V124" i="1"/>
  <c r="W124" i="1" s="1"/>
  <c r="P124" i="1"/>
  <c r="N124" i="1"/>
  <c r="V123" i="1"/>
  <c r="V122" i="1"/>
  <c r="V121" i="1"/>
  <c r="P121" i="1"/>
  <c r="W121" i="1" s="1"/>
  <c r="N121" i="1"/>
  <c r="S117" i="1"/>
  <c r="S118" i="1" s="1"/>
  <c r="V113" i="1"/>
  <c r="V112" i="1"/>
  <c r="V111" i="1"/>
  <c r="V110" i="1"/>
  <c r="V109" i="1"/>
  <c r="W109" i="1" s="1"/>
  <c r="P109" i="1"/>
  <c r="N109" i="1"/>
  <c r="V108" i="1"/>
  <c r="V107" i="1"/>
  <c r="V106" i="1"/>
  <c r="V105" i="1"/>
  <c r="V104" i="1"/>
  <c r="W104" i="1" s="1"/>
  <c r="P104" i="1"/>
  <c r="N104" i="1"/>
  <c r="V103" i="1"/>
  <c r="V102" i="1"/>
  <c r="V101" i="1"/>
  <c r="V100" i="1"/>
  <c r="V99" i="1"/>
  <c r="W99" i="1" s="1"/>
  <c r="P99" i="1"/>
  <c r="N99" i="1"/>
  <c r="V98" i="1"/>
  <c r="V97" i="1"/>
  <c r="V96" i="1"/>
  <c r="V95" i="1"/>
  <c r="V94" i="1"/>
  <c r="P94" i="1"/>
  <c r="W94" i="1" s="1"/>
  <c r="N94" i="1"/>
  <c r="V93" i="1"/>
  <c r="V92" i="1"/>
  <c r="V91" i="1"/>
  <c r="V90" i="1"/>
  <c r="V89" i="1"/>
  <c r="P89" i="1"/>
  <c r="W89" i="1" s="1"/>
  <c r="N89" i="1"/>
  <c r="S85" i="1"/>
  <c r="S86" i="1" s="1"/>
  <c r="V82" i="1"/>
  <c r="V81" i="1"/>
  <c r="V80" i="1"/>
  <c r="V79" i="1"/>
  <c r="V78" i="1"/>
  <c r="W78" i="1" s="1"/>
  <c r="P78" i="1"/>
  <c r="N78" i="1"/>
  <c r="V77" i="1"/>
  <c r="V76" i="1"/>
  <c r="V75" i="1"/>
  <c r="V74" i="1"/>
  <c r="V73" i="1"/>
  <c r="W73" i="1" s="1"/>
  <c r="P73" i="1"/>
  <c r="N73" i="1"/>
  <c r="V72" i="1"/>
  <c r="V71" i="1"/>
  <c r="V70" i="1"/>
  <c r="V69" i="1"/>
  <c r="V68" i="1"/>
  <c r="W68" i="1" s="1"/>
  <c r="P68" i="1"/>
  <c r="N68" i="1"/>
  <c r="V67" i="1"/>
  <c r="V66" i="1"/>
  <c r="V65" i="1"/>
  <c r="V64" i="1"/>
  <c r="V63" i="1"/>
  <c r="P63" i="1"/>
  <c r="W63" i="1" s="1"/>
  <c r="N63" i="1"/>
  <c r="V62" i="1"/>
  <c r="V61" i="1"/>
  <c r="V60" i="1"/>
  <c r="V59" i="1"/>
  <c r="V58" i="1"/>
  <c r="P58" i="1"/>
  <c r="W58" i="1" s="1"/>
  <c r="N58" i="1"/>
  <c r="S54" i="1"/>
  <c r="S55" i="1" s="1"/>
  <c r="V51" i="1"/>
  <c r="V50" i="1"/>
  <c r="V49" i="1"/>
  <c r="V48" i="1"/>
  <c r="V47" i="1"/>
  <c r="P47" i="1"/>
  <c r="W47" i="1" s="1"/>
  <c r="N47" i="1"/>
  <c r="V46" i="1"/>
  <c r="V45" i="1"/>
  <c r="V44" i="1"/>
  <c r="V43" i="1"/>
  <c r="V42" i="1"/>
  <c r="P42" i="1"/>
  <c r="W42" i="1" s="1"/>
  <c r="N42" i="1"/>
  <c r="V41" i="1"/>
  <c r="V40" i="1"/>
  <c r="V39" i="1"/>
  <c r="V38" i="1"/>
  <c r="V37" i="1"/>
  <c r="P37" i="1"/>
  <c r="W37" i="1" s="1"/>
  <c r="N37" i="1"/>
  <c r="V36" i="1"/>
  <c r="V35" i="1"/>
  <c r="V34" i="1"/>
  <c r="V33" i="1"/>
  <c r="V32" i="1"/>
  <c r="P32" i="1"/>
  <c r="W32" i="1" s="1"/>
  <c r="N32" i="1"/>
  <c r="V31" i="1"/>
  <c r="V30" i="1"/>
  <c r="V29" i="1"/>
  <c r="V28" i="1"/>
  <c r="V27" i="1"/>
  <c r="P27" i="1"/>
  <c r="W27" i="1" s="1"/>
  <c r="N27" i="1"/>
  <c r="S23" i="1"/>
  <c r="F16" i="1" s="1"/>
  <c r="U18" i="1"/>
  <c r="Z15" i="1"/>
  <c r="N13" i="1"/>
  <c r="N12" i="1"/>
  <c r="N11" i="1"/>
  <c r="N10" i="1"/>
  <c r="T9" i="1"/>
  <c r="F15" i="1" s="1"/>
  <c r="F17" i="1" s="1"/>
  <c r="N9" i="1"/>
  <c r="S2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2" authorId="0" shapeId="0" xr:uid="{A44C5C88-7E7E-42AB-B0B5-B9E51D2820DA}">
      <text>
        <r>
          <rPr>
            <sz val="10"/>
            <color rgb="FF000000"/>
            <rFont val="Arial"/>
            <family val="2"/>
          </rPr>
          <t>======
ID#AAAAMCk2WNc
Centro de Extension de la Facultad de Derecho    (2021-04-16 13:08:35)
Deberá alimentar a los datos de ASIGNACIÓN DE PROYECTOS de columna AD (numero de SARes) y AJ (Nombre)</t>
        </r>
      </text>
    </comment>
    <comment ref="B53" authorId="0" shapeId="0" xr:uid="{56184A3A-FEF1-4698-BC0D-BAC8C96076F0}">
      <text>
        <r>
          <rPr>
            <sz val="10"/>
            <color rgb="FF000000"/>
            <rFont val="Arial"/>
            <family val="2"/>
          </rPr>
          <t>======
ID#AAAAMCk2WQw
Centro de Extension de la Facultad de Derecho    (2021-04-16 13:14:32)
Deberá alimentar a los datos de ASIGNACIÓN DE PROYECTOS de columna AE</t>
        </r>
      </text>
    </comment>
    <comment ref="A84" authorId="0" shapeId="0" xr:uid="{5FE75A3D-838A-4661-B05A-E84C1CA84DC3}">
      <text>
        <r>
          <rPr>
            <sz val="10"/>
            <color rgb="FF000000"/>
            <rFont val="Arial"/>
            <family val="2"/>
          </rPr>
          <t>======
ID#AAAAMCk2WLc
Centro de Extension de la Facultad de Derecho    (2021-04-16 13:06:45)
Estos datos deberán alimentar los señalados en asignación de proyectos</t>
        </r>
      </text>
    </comment>
    <comment ref="B84" authorId="0" shapeId="0" xr:uid="{A006BAD1-DB6F-4879-944D-25D165BC4762}">
      <text>
        <r>
          <rPr>
            <sz val="10"/>
            <color rgb="FF000000"/>
            <rFont val="Arial"/>
            <family val="2"/>
          </rPr>
          <t>======
ID#AAAAMCk2WNY
Centro de Extension de la Facultad de Derecho    (2021-04-16 13:08:17)
Deberá alimentar a los datos de ASIGNACIÓN DE PROYECTOS de columnsa AA AB AC</t>
        </r>
      </text>
    </comment>
    <comment ref="A395" authorId="0" shapeId="0" xr:uid="{8DE49D4B-8E37-47DE-B542-422C4D38116A}">
      <text>
        <r>
          <rPr>
            <sz val="10"/>
            <color rgb="FF000000"/>
            <rFont val="Arial"/>
            <family val="2"/>
          </rPr>
          <t>======
ID#AAAAMCk2WS4
Centro de Extension de la Facultad de Derecho    (2021-04-16 13:19:40)
NUEVO!!!</t>
        </r>
      </text>
    </comment>
  </commentList>
</comments>
</file>

<file path=xl/sharedStrings.xml><?xml version="1.0" encoding="utf-8"?>
<sst xmlns="http://schemas.openxmlformats.org/spreadsheetml/2006/main" count="858" uniqueCount="106">
  <si>
    <t>SEGUIMIENTO FINANCIERO  Y ADMINISTRATIVOS DE PROYECTOS</t>
  </si>
  <si>
    <t xml:space="preserve">NOMBRE DEL PROYECTO </t>
  </si>
  <si>
    <t>CÓDIGO QUIPU</t>
  </si>
  <si>
    <t>CÓDIGO HERMES</t>
  </si>
  <si>
    <t xml:space="preserve">EMPRESA </t>
  </si>
  <si>
    <t xml:space="preserve">DIRECTOR DEL PROYECTO </t>
  </si>
  <si>
    <t xml:space="preserve">IDENTIFICACIÓN </t>
  </si>
  <si>
    <t xml:space="preserve">CORREO </t>
  </si>
  <si>
    <t xml:space="preserve">INTENVENTOR DEL PROYECTO </t>
  </si>
  <si>
    <t xml:space="preserve">APORTE DE FACULTAD </t>
  </si>
  <si>
    <t xml:space="preserve">APORTE VIR </t>
  </si>
  <si>
    <t xml:space="preserve">APORTE DIEB </t>
  </si>
  <si>
    <t xml:space="preserve">FINANCIACIÓN EXTERNA </t>
  </si>
  <si>
    <t xml:space="preserve">PAGOS </t>
  </si>
  <si>
    <t>VALOR</t>
  </si>
  <si>
    <t xml:space="preserve">FECHA DEGIRO </t>
  </si>
  <si>
    <t xml:space="preserve">TOTAL APORTADO A LA FECHA </t>
  </si>
  <si>
    <t xml:space="preserve">DESEMBOLSO 1 </t>
  </si>
  <si>
    <t>DESEMBOLSO 2</t>
  </si>
  <si>
    <t>DESEMBOLSO 3</t>
  </si>
  <si>
    <t xml:space="preserve">VALOR CONVENIO APROBADO </t>
  </si>
  <si>
    <t>DESEMBOLSO 4</t>
  </si>
  <si>
    <t>DESEMBOLSO 5</t>
  </si>
  <si>
    <t xml:space="preserve">VALOR TOTAL DEL PROYECTO APROBADO </t>
  </si>
  <si>
    <t xml:space="preserve">VALOR EJECUTADO DEL PROYECTO </t>
  </si>
  <si>
    <t xml:space="preserve">VIGENCIA DEL PROYECTO PARA EJECUTAR </t>
  </si>
  <si>
    <t xml:space="preserve">FECHA DE INICIO DEL PROYECTO </t>
  </si>
  <si>
    <t xml:space="preserve">FECHA DE TERMINACIÓN DEL PROYECTO </t>
  </si>
  <si>
    <t>ESTADO ACTUAL DEL PROYECTO</t>
  </si>
  <si>
    <t>ASISTENCIA DE COORDINACIÓN DEL PROYECTO</t>
  </si>
  <si>
    <t>1. GASTOS DE PERSONAL</t>
  </si>
  <si>
    <t xml:space="preserve">RUBRO </t>
  </si>
  <si>
    <t>SERVICIOS ACADÉMICOS REMUNERADOS</t>
  </si>
  <si>
    <t xml:space="preserve">VALOR </t>
  </si>
  <si>
    <t xml:space="preserve">EJECUTADO </t>
  </si>
  <si>
    <t xml:space="preserve">DISPONIBILIDAD DEL RUBRO </t>
  </si>
  <si>
    <t xml:space="preserve">CONCEPTO </t>
  </si>
  <si>
    <t xml:space="preserve">NOMBRE </t>
  </si>
  <si>
    <t>RELACIÓN DEL VINCULADO</t>
  </si>
  <si>
    <t xml:space="preserve">FECHA LEGALIZACIÓN ORDEN </t>
  </si>
  <si>
    <t xml:space="preserve">TIPO </t>
  </si>
  <si>
    <t xml:space="preserve">No. </t>
  </si>
  <si>
    <t>FECHA INICIO</t>
  </si>
  <si>
    <t xml:space="preserve">FECHA FINAL </t>
  </si>
  <si>
    <t xml:space="preserve">ESTADO </t>
  </si>
  <si>
    <t>VALOR TOTAL</t>
  </si>
  <si>
    <t>VALOR CON 4*1000</t>
  </si>
  <si>
    <t xml:space="preserve">PAGO </t>
  </si>
  <si>
    <t xml:space="preserve">SALDO PENDIETE </t>
  </si>
  <si>
    <t xml:space="preserve">OBSERVACIÓN </t>
  </si>
  <si>
    <t>ÁREA</t>
  </si>
  <si>
    <t>PREGRADO</t>
  </si>
  <si>
    <t>POSGRADO</t>
  </si>
  <si>
    <t>EGRESADO</t>
  </si>
  <si>
    <t>N A</t>
  </si>
  <si>
    <t>ORPA</t>
  </si>
  <si>
    <t>FECHA</t>
  </si>
  <si>
    <t>CP.EGR</t>
  </si>
  <si>
    <t>PERIODO</t>
  </si>
  <si>
    <t xml:space="preserve">VALOR NETO </t>
  </si>
  <si>
    <t>VALOR 4*1000</t>
  </si>
  <si>
    <t xml:space="preserve">REMUNERACIÓN POR SERVICIOS TECNICOS </t>
  </si>
  <si>
    <t xml:space="preserve">FECHA </t>
  </si>
  <si>
    <t>Valor Total</t>
  </si>
  <si>
    <t>Valor con 4 xmil</t>
  </si>
  <si>
    <t>OTRO</t>
  </si>
  <si>
    <t>ESTÍMULO ESTUDIANTES AUXILIARES</t>
  </si>
  <si>
    <t>PAGO</t>
  </si>
  <si>
    <t>2. ADQUISICIÓN DE BIENES</t>
  </si>
  <si>
    <t>MATERIALES Y SUMINISTROS</t>
  </si>
  <si>
    <t>COMPRA DE EQUIPO</t>
  </si>
  <si>
    <t>COMPRA DE MATERIAL BIBLIOGRÁFICO</t>
  </si>
  <si>
    <t>O.I. - ADQUISICIÓN DE BIENES</t>
  </si>
  <si>
    <t>3. ADQUISICIÓN DE SERVICIOS</t>
  </si>
  <si>
    <t>IMPRESOS Y PUBLICACIONES</t>
  </si>
  <si>
    <t>APOYO LOGÍSTICO</t>
  </si>
  <si>
    <t xml:space="preserve">ARRENDAMIENTOS </t>
  </si>
  <si>
    <t>VIÁTICOS Y GASTOS DE VIAJES</t>
  </si>
  <si>
    <t>COMUNICACIONES Y TRANSPORTE</t>
  </si>
  <si>
    <t>CAPACITACIÓN</t>
  </si>
  <si>
    <t>MANTENIMIENTO</t>
  </si>
  <si>
    <t>SERVICIOS PÚBLICOS</t>
  </si>
  <si>
    <t>SEGUROS</t>
  </si>
  <si>
    <t>COMISIONES BANCARIAS</t>
  </si>
  <si>
    <t>OTROS GASTOS GENERALES POR ADQUISICIÓN DE SERVICIOS</t>
  </si>
  <si>
    <t>O.I. - ADQUISICIÓN SERVICIOS DE EXTENSIÓN</t>
  </si>
  <si>
    <t>O.I. - ADQUISICIÓN IMPRESOS Y PUBLICACIONES</t>
  </si>
  <si>
    <t>O.I. - ADQUISICIÓN ARRENDAMIENTOS</t>
  </si>
  <si>
    <t>O.I. - ADQUISICIÓN SERVICIOS DE COMUNICACIÓN</t>
  </si>
  <si>
    <t>O.I. - ADQUISICIÓN POR OTRAS VENTAS DE SERVICIOS</t>
  </si>
  <si>
    <t>4. IMPUESTOS, CONTRIBUCIONES Y MULTAS</t>
  </si>
  <si>
    <t>IMPUESTOS, CONTRIBUCIONES Y MULTAS</t>
  </si>
  <si>
    <t>5. TRANSFERENCIAS ENTRE FONDOS SIN CONTRAPRESTACIÓN</t>
  </si>
  <si>
    <t>6. RELACIÓN DE ACUERDOS INTERFIC PARA EJECUCIÓN DEL PROYECTO</t>
  </si>
  <si>
    <t>N°</t>
  </si>
  <si>
    <t>Sede</t>
  </si>
  <si>
    <t>Facultad</t>
  </si>
  <si>
    <t>Nombre o número acuerdo intefic/Intersede</t>
  </si>
  <si>
    <t>Fecha de inicio de acuerdo intefic/Intersede</t>
  </si>
  <si>
    <t>Fecha de finalización de acuerdo intefic/Intersede</t>
  </si>
  <si>
    <t>Duración en día Acuerdo interfic/intersede</t>
  </si>
  <si>
    <t>Objeto de acuerdo Interfic/Intersede</t>
  </si>
  <si>
    <t>Justificación de Acuerdo InterFIC</t>
  </si>
  <si>
    <t>Valor de Acuerdo InterFIC</t>
  </si>
  <si>
    <t>Beneficios de ejecutar proyectos interfic-Intersedes (cuándo se desarrollan)</t>
  </si>
  <si>
    <t>Dificultades de ejecutar proyectos interfic-Intersedes (cuándo se desarrollan)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</si>
</sst>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$ ]#,##0"/>
    <numFmt numFmtId="165" formatCode="_-&quot;$&quot;* #,##0_-;\-&quot;$&quot;* #,##0_-;_-&quot;$&quot;* &quot;-&quot;??_-;_-@"/>
    <numFmt numFmtId="166" formatCode="_(&quot;$&quot;\ * #,##0.00_);_(&quot;$&quot;\ * \(#,##0.00\);_(&quot;$&quot;\ * &quot;-&quot;??_);_(@_)"/>
    <numFmt numFmtId="167" formatCode="mm\-dd\-yyyy"/>
    <numFmt numFmtId="168" formatCode="mm\-dd\-yy"/>
    <numFmt numFmtId="169" formatCode="mm/dd"/>
  </numFmts>
  <fonts count="29"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8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b/>
      <sz val="11"/>
      <color theme="1"/>
      <name val="Calibri"/>
      <family val="2"/>
    </font>
    <font>
      <sz val="13"/>
      <color theme="1"/>
      <name val="Times New Roman"/>
      <family val="1"/>
    </font>
    <font>
      <sz val="15"/>
      <color theme="1"/>
      <name val="Times New Roman"/>
      <family val="1"/>
    </font>
    <font>
      <sz val="22"/>
      <color theme="1"/>
      <name val="Times New Roman"/>
      <family val="1"/>
    </font>
    <font>
      <b/>
      <sz val="16"/>
      <color rgb="FF000000"/>
      <name val="Times New Roman"/>
      <family val="1"/>
    </font>
    <font>
      <b/>
      <i/>
      <sz val="16"/>
      <color theme="1"/>
      <name val="Calibri"/>
      <family val="2"/>
    </font>
    <font>
      <b/>
      <i/>
      <sz val="16"/>
      <color rgb="FF000000"/>
      <name val="Times New Roman"/>
      <family val="1"/>
    </font>
    <font>
      <b/>
      <sz val="13"/>
      <color rgb="FF000000"/>
      <name val="Times New Roman"/>
      <family val="1"/>
    </font>
    <font>
      <b/>
      <sz val="13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8"/>
      <color rgb="FF000000"/>
      <name val="Times New Roman"/>
      <family val="1"/>
    </font>
    <font>
      <b/>
      <sz val="9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&quot;Ancizar Sans&quot;"/>
    </font>
    <font>
      <b/>
      <sz val="11"/>
      <color rgb="FF000000"/>
      <name val="Arial"/>
      <family val="2"/>
    </font>
    <font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9F0CB"/>
        <bgColor rgb="FF19F0CB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48C7F6"/>
        <bgColor rgb="FF48C7F6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54F648"/>
        <bgColor rgb="FF54F648"/>
      </patternFill>
    </fill>
    <fill>
      <patternFill patternType="solid">
        <fgColor rgb="FF00FF00"/>
        <bgColor rgb="FF00FF00"/>
      </patternFill>
    </fill>
    <fill>
      <patternFill patternType="solid">
        <fgColor rgb="FFAF9FF6"/>
        <bgColor rgb="FFAF9FF6"/>
      </patternFill>
    </fill>
    <fill>
      <patternFill patternType="solid">
        <fgColor rgb="FFC0C0C0"/>
        <bgColor rgb="FFC0C0C0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0" xfId="0" applyFont="1" applyFill="1" applyAlignment="1">
      <alignment vertical="center"/>
    </xf>
    <xf numFmtId="0" fontId="4" fillId="0" borderId="0" xfId="0" applyFont="1"/>
    <xf numFmtId="0" fontId="1" fillId="2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3" fontId="7" fillId="3" borderId="4" xfId="0" applyNumberFormat="1" applyFont="1" applyFill="1" applyBorder="1" applyAlignment="1">
      <alignment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3" borderId="0" xfId="0" applyFont="1" applyFill="1" applyAlignment="1">
      <alignment vertical="center"/>
    </xf>
    <xf numFmtId="164" fontId="5" fillId="2" borderId="5" xfId="0" applyNumberFormat="1" applyFont="1" applyFill="1" applyBorder="1" applyAlignment="1">
      <alignment horizontal="center" vertical="center"/>
    </xf>
    <xf numFmtId="0" fontId="2" fillId="0" borderId="6" xfId="0" applyFont="1" applyBorder="1"/>
    <xf numFmtId="3" fontId="5" fillId="0" borderId="5" xfId="0" applyNumberFormat="1" applyFont="1" applyBorder="1" applyAlignment="1">
      <alignment horizontal="center" vertical="center"/>
    </xf>
    <xf numFmtId="0" fontId="2" fillId="0" borderId="7" xfId="0" applyFont="1" applyBorder="1"/>
    <xf numFmtId="9" fontId="8" fillId="0" borderId="4" xfId="0" applyNumberFormat="1" applyFont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0" fillId="0" borderId="0" xfId="0"/>
    <xf numFmtId="0" fontId="10" fillId="0" borderId="1" xfId="0" applyFont="1" applyBorder="1" applyAlignment="1">
      <alignment horizontal="center" vertical="center"/>
    </xf>
    <xf numFmtId="9" fontId="10" fillId="0" borderId="4" xfId="0" applyNumberFormat="1" applyFont="1" applyBorder="1" applyAlignment="1">
      <alignment horizontal="right" vertical="center"/>
    </xf>
    <xf numFmtId="164" fontId="10" fillId="0" borderId="1" xfId="0" applyNumberFormat="1" applyFont="1" applyBorder="1" applyAlignment="1">
      <alignment horizontal="right" vertical="center"/>
    </xf>
    <xf numFmtId="0" fontId="10" fillId="0" borderId="1" xfId="0" applyFont="1" applyBorder="1" applyAlignment="1">
      <alignment vertical="center"/>
    </xf>
    <xf numFmtId="164" fontId="11" fillId="0" borderId="5" xfId="0" applyNumberFormat="1" applyFont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1" fillId="2" borderId="1" xfId="0" applyFont="1" applyFill="1" applyBorder="1" applyAlignment="1">
      <alignment horizontal="left" vertical="center"/>
    </xf>
    <xf numFmtId="164" fontId="12" fillId="0" borderId="1" xfId="0" applyNumberFormat="1" applyFont="1" applyBorder="1" applyAlignment="1">
      <alignment horizontal="center" vertical="center"/>
    </xf>
    <xf numFmtId="164" fontId="4" fillId="0" borderId="0" xfId="0" applyNumberFormat="1" applyFont="1"/>
    <xf numFmtId="0" fontId="13" fillId="2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3" fontId="15" fillId="3" borderId="11" xfId="0" applyNumberFormat="1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/>
    </xf>
    <xf numFmtId="165" fontId="7" fillId="3" borderId="4" xfId="0" applyNumberFormat="1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left" vertical="center"/>
    </xf>
    <xf numFmtId="0" fontId="14" fillId="3" borderId="0" xfId="0" applyFont="1" applyFill="1" applyAlignment="1">
      <alignment horizontal="center" vertical="center" wrapText="1"/>
    </xf>
    <xf numFmtId="0" fontId="15" fillId="6" borderId="0" xfId="0" applyFont="1" applyFill="1" applyAlignment="1">
      <alignment horizontal="center" vertical="center"/>
    </xf>
    <xf numFmtId="0" fontId="16" fillId="5" borderId="11" xfId="0" applyFont="1" applyFill="1" applyBorder="1" applyAlignment="1">
      <alignment horizontal="right" vertical="center"/>
    </xf>
    <xf numFmtId="164" fontId="15" fillId="0" borderId="11" xfId="0" applyNumberFormat="1" applyFont="1" applyBorder="1" applyAlignment="1">
      <alignment horizontal="center" vertical="center"/>
    </xf>
    <xf numFmtId="0" fontId="2" fillId="0" borderId="0" xfId="0" applyFont="1"/>
    <xf numFmtId="0" fontId="17" fillId="5" borderId="0" xfId="0" applyFont="1" applyFill="1" applyAlignment="1">
      <alignment horizontal="right" vertical="center"/>
    </xf>
    <xf numFmtId="0" fontId="18" fillId="5" borderId="15" xfId="0" applyFont="1" applyFill="1" applyBorder="1" applyAlignment="1">
      <alignment horizontal="center" vertical="center"/>
    </xf>
    <xf numFmtId="3" fontId="19" fillId="5" borderId="15" xfId="0" applyNumberFormat="1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 wrapText="1"/>
    </xf>
    <xf numFmtId="0" fontId="20" fillId="5" borderId="15" xfId="0" applyFont="1" applyFill="1" applyBorder="1" applyAlignment="1">
      <alignment horizontal="center" vertical="center" wrapText="1"/>
    </xf>
    <xf numFmtId="0" fontId="21" fillId="5" borderId="15" xfId="0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/>
    </xf>
    <xf numFmtId="0" fontId="21" fillId="5" borderId="0" xfId="0" applyFont="1" applyFill="1" applyAlignment="1">
      <alignment horizontal="center" vertical="center" wrapText="1"/>
    </xf>
    <xf numFmtId="0" fontId="21" fillId="5" borderId="0" xfId="0" applyFont="1" applyFill="1" applyAlignment="1">
      <alignment horizontal="center" vertical="center"/>
    </xf>
    <xf numFmtId="0" fontId="2" fillId="0" borderId="16" xfId="0" applyFont="1" applyBorder="1"/>
    <xf numFmtId="0" fontId="22" fillId="5" borderId="9" xfId="0" applyFont="1" applyFill="1" applyBorder="1" applyAlignment="1">
      <alignment horizontal="center" vertical="center" wrapText="1"/>
    </xf>
    <xf numFmtId="0" fontId="22" fillId="5" borderId="4" xfId="0" applyFont="1" applyFill="1" applyBorder="1" applyAlignment="1">
      <alignment horizontal="center" vertical="center" wrapText="1"/>
    </xf>
    <xf numFmtId="166" fontId="23" fillId="5" borderId="0" xfId="0" applyNumberFormat="1" applyFont="1" applyFill="1" applyAlignment="1">
      <alignment horizontal="center" vertical="center" wrapText="1"/>
    </xf>
    <xf numFmtId="166" fontId="23" fillId="5" borderId="4" xfId="0" applyNumberFormat="1" applyFont="1" applyFill="1" applyBorder="1" applyAlignment="1">
      <alignment horizontal="center" vertical="center" wrapText="1"/>
    </xf>
    <xf numFmtId="166" fontId="23" fillId="5" borderId="16" xfId="0" applyNumberFormat="1" applyFont="1" applyFill="1" applyBorder="1" applyAlignment="1">
      <alignment horizontal="center" vertical="center" wrapText="1"/>
    </xf>
    <xf numFmtId="0" fontId="20" fillId="5" borderId="16" xfId="0" applyFont="1" applyFill="1" applyBorder="1" applyAlignment="1">
      <alignment horizontal="center" vertical="center"/>
    </xf>
    <xf numFmtId="0" fontId="24" fillId="0" borderId="15" xfId="0" applyFont="1" applyBorder="1" applyAlignment="1">
      <alignment horizontal="left" vertical="center" wrapText="1"/>
    </xf>
    <xf numFmtId="0" fontId="25" fillId="0" borderId="15" xfId="0" applyFont="1" applyBorder="1" applyAlignment="1">
      <alignment horizontal="left" vertical="center" wrapText="1"/>
    </xf>
    <xf numFmtId="3" fontId="25" fillId="0" borderId="15" xfId="0" applyNumberFormat="1" applyFont="1" applyBorder="1" applyAlignment="1">
      <alignment horizontal="center" vertical="center"/>
    </xf>
    <xf numFmtId="164" fontId="25" fillId="0" borderId="15" xfId="0" applyNumberFormat="1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165" fontId="25" fillId="0" borderId="15" xfId="0" applyNumberFormat="1" applyFont="1" applyBorder="1" applyAlignment="1">
      <alignment horizontal="center" vertical="center"/>
    </xf>
    <xf numFmtId="167" fontId="25" fillId="0" borderId="15" xfId="0" applyNumberFormat="1" applyFont="1" applyBorder="1" applyAlignment="1">
      <alignment horizontal="center" vertical="center"/>
    </xf>
    <xf numFmtId="165" fontId="21" fillId="0" borderId="15" xfId="0" applyNumberFormat="1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168" fontId="25" fillId="0" borderId="4" xfId="0" applyNumberFormat="1" applyFont="1" applyBorder="1" applyAlignment="1">
      <alignment horizontal="center" vertical="center"/>
    </xf>
    <xf numFmtId="169" fontId="25" fillId="0" borderId="4" xfId="0" applyNumberFormat="1" applyFont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164" fontId="21" fillId="0" borderId="15" xfId="0" applyNumberFormat="1" applyFont="1" applyBorder="1" applyAlignment="1">
      <alignment horizontal="center" vertical="center"/>
    </xf>
    <xf numFmtId="165" fontId="7" fillId="0" borderId="15" xfId="0" applyNumberFormat="1" applyFont="1" applyBorder="1" applyAlignment="1">
      <alignment horizontal="center" vertical="center"/>
    </xf>
    <xf numFmtId="0" fontId="2" fillId="0" borderId="17" xfId="0" applyFont="1" applyBorder="1"/>
    <xf numFmtId="0" fontId="24" fillId="7" borderId="15" xfId="0" applyFont="1" applyFill="1" applyBorder="1" applyAlignment="1">
      <alignment horizontal="left" vertical="center" wrapText="1"/>
    </xf>
    <xf numFmtId="0" fontId="25" fillId="7" borderId="15" xfId="0" applyFont="1" applyFill="1" applyBorder="1" applyAlignment="1">
      <alignment horizontal="left" vertical="center" wrapText="1"/>
    </xf>
    <xf numFmtId="3" fontId="25" fillId="7" borderId="15" xfId="0" applyNumberFormat="1" applyFont="1" applyFill="1" applyBorder="1" applyAlignment="1">
      <alignment horizontal="center" vertical="center"/>
    </xf>
    <xf numFmtId="164" fontId="25" fillId="7" borderId="15" xfId="0" applyNumberFormat="1" applyFont="1" applyFill="1" applyBorder="1" applyAlignment="1">
      <alignment horizontal="center" vertical="center"/>
    </xf>
    <xf numFmtId="0" fontId="25" fillId="7" borderId="15" xfId="0" applyFont="1" applyFill="1" applyBorder="1" applyAlignment="1">
      <alignment horizontal="center" vertical="center"/>
    </xf>
    <xf numFmtId="165" fontId="25" fillId="7" borderId="15" xfId="0" applyNumberFormat="1" applyFont="1" applyFill="1" applyBorder="1" applyAlignment="1">
      <alignment horizontal="center" vertical="center"/>
    </xf>
    <xf numFmtId="167" fontId="25" fillId="7" borderId="15" xfId="0" applyNumberFormat="1" applyFont="1" applyFill="1" applyBorder="1" applyAlignment="1">
      <alignment horizontal="center" vertical="center"/>
    </xf>
    <xf numFmtId="165" fontId="21" fillId="7" borderId="15" xfId="0" applyNumberFormat="1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169" fontId="25" fillId="7" borderId="4" xfId="0" applyNumberFormat="1" applyFont="1" applyFill="1" applyBorder="1" applyAlignment="1">
      <alignment horizontal="center" vertical="center"/>
    </xf>
    <xf numFmtId="164" fontId="25" fillId="7" borderId="4" xfId="0" applyNumberFormat="1" applyFont="1" applyFill="1" applyBorder="1" applyAlignment="1">
      <alignment horizontal="center" vertical="center"/>
    </xf>
    <xf numFmtId="164" fontId="21" fillId="7" borderId="15" xfId="0" applyNumberFormat="1" applyFont="1" applyFill="1" applyBorder="1" applyAlignment="1">
      <alignment horizontal="center" vertical="center"/>
    </xf>
    <xf numFmtId="165" fontId="7" fillId="7" borderId="15" xfId="0" applyNumberFormat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3" fontId="7" fillId="3" borderId="4" xfId="0" applyNumberFormat="1" applyFont="1" applyFill="1" applyBorder="1" applyAlignment="1">
      <alignment horizontal="center" vertical="center"/>
    </xf>
    <xf numFmtId="165" fontId="7" fillId="3" borderId="18" xfId="0" applyNumberFormat="1" applyFont="1" applyFill="1" applyBorder="1" applyAlignment="1">
      <alignment horizontal="center" vertical="center"/>
    </xf>
    <xf numFmtId="165" fontId="7" fillId="3" borderId="19" xfId="0" applyNumberFormat="1" applyFont="1" applyFill="1" applyBorder="1" applyAlignment="1">
      <alignment horizontal="center" vertical="center"/>
    </xf>
    <xf numFmtId="14" fontId="7" fillId="3" borderId="4" xfId="0" applyNumberFormat="1" applyFont="1" applyFill="1" applyBorder="1" applyAlignment="1">
      <alignment horizontal="center" vertical="center"/>
    </xf>
    <xf numFmtId="1" fontId="7" fillId="3" borderId="4" xfId="0" applyNumberFormat="1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 wrapText="1"/>
    </xf>
    <xf numFmtId="0" fontId="15" fillId="8" borderId="11" xfId="0" applyFont="1" applyFill="1" applyBorder="1" applyAlignment="1">
      <alignment horizontal="left" vertical="center"/>
    </xf>
    <xf numFmtId="0" fontId="15" fillId="9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9" borderId="11" xfId="0" applyFont="1" applyFill="1" applyBorder="1" applyAlignment="1">
      <alignment horizontal="right" vertical="center"/>
    </xf>
    <xf numFmtId="0" fontId="17" fillId="9" borderId="0" xfId="0" applyFont="1" applyFill="1" applyAlignment="1">
      <alignment horizontal="right" vertical="center"/>
    </xf>
    <xf numFmtId="0" fontId="18" fillId="9" borderId="15" xfId="0" applyFont="1" applyFill="1" applyBorder="1" applyAlignment="1">
      <alignment horizontal="center" vertical="center"/>
    </xf>
    <xf numFmtId="3" fontId="19" fillId="9" borderId="15" xfId="0" applyNumberFormat="1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21" fillId="9" borderId="15" xfId="0" applyFont="1" applyFill="1" applyBorder="1" applyAlignment="1">
      <alignment horizontal="center" vertical="center"/>
    </xf>
    <xf numFmtId="0" fontId="18" fillId="9" borderId="15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/>
    </xf>
    <xf numFmtId="0" fontId="21" fillId="9" borderId="0" xfId="0" applyFont="1" applyFill="1" applyAlignment="1">
      <alignment horizontal="center" vertical="center" wrapText="1"/>
    </xf>
    <xf numFmtId="0" fontId="21" fillId="9" borderId="0" xfId="0" applyFont="1" applyFill="1" applyAlignment="1">
      <alignment horizontal="center" vertical="center"/>
    </xf>
    <xf numFmtId="0" fontId="22" fillId="9" borderId="4" xfId="0" applyFont="1" applyFill="1" applyBorder="1" applyAlignment="1">
      <alignment horizontal="center" vertical="center" wrapText="1"/>
    </xf>
    <xf numFmtId="166" fontId="23" fillId="8" borderId="0" xfId="0" applyNumberFormat="1" applyFont="1" applyFill="1" applyAlignment="1">
      <alignment horizontal="center" vertical="center" wrapText="1"/>
    </xf>
    <xf numFmtId="166" fontId="23" fillId="8" borderId="4" xfId="0" applyNumberFormat="1" applyFont="1" applyFill="1" applyBorder="1" applyAlignment="1">
      <alignment horizontal="center" vertical="center" wrapText="1"/>
    </xf>
    <xf numFmtId="166" fontId="23" fillId="8" borderId="16" xfId="0" applyNumberFormat="1" applyFont="1" applyFill="1" applyBorder="1" applyAlignment="1">
      <alignment horizontal="center" vertical="center" wrapText="1"/>
    </xf>
    <xf numFmtId="0" fontId="20" fillId="8" borderId="16" xfId="0" applyFont="1" applyFill="1" applyBorder="1" applyAlignment="1">
      <alignment horizontal="center" vertical="center"/>
    </xf>
    <xf numFmtId="0" fontId="15" fillId="10" borderId="11" xfId="0" applyFont="1" applyFill="1" applyBorder="1" applyAlignment="1">
      <alignment horizontal="left" vertical="center"/>
    </xf>
    <xf numFmtId="0" fontId="15" fillId="10" borderId="0" xfId="0" applyFont="1" applyFill="1" applyAlignment="1">
      <alignment horizontal="center" vertical="center"/>
    </xf>
    <xf numFmtId="0" fontId="16" fillId="10" borderId="11" xfId="0" applyFont="1" applyFill="1" applyBorder="1" applyAlignment="1">
      <alignment horizontal="right" vertical="center"/>
    </xf>
    <xf numFmtId="0" fontId="17" fillId="10" borderId="0" xfId="0" applyFont="1" applyFill="1" applyAlignment="1">
      <alignment horizontal="right" vertical="center"/>
    </xf>
    <xf numFmtId="0" fontId="18" fillId="10" borderId="15" xfId="0" applyFont="1" applyFill="1" applyBorder="1" applyAlignment="1">
      <alignment horizontal="center" vertical="center"/>
    </xf>
    <xf numFmtId="3" fontId="19" fillId="10" borderId="15" xfId="0" applyNumberFormat="1" applyFont="1" applyFill="1" applyBorder="1" applyAlignment="1">
      <alignment horizontal="center" vertical="center"/>
    </xf>
    <xf numFmtId="0" fontId="18" fillId="10" borderId="9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21" fillId="10" borderId="15" xfId="0" applyFont="1" applyFill="1" applyBorder="1" applyAlignment="1">
      <alignment horizontal="center" vertical="center"/>
    </xf>
    <xf numFmtId="0" fontId="18" fillId="10" borderId="15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/>
    </xf>
    <xf numFmtId="0" fontId="21" fillId="10" borderId="0" xfId="0" applyFont="1" applyFill="1" applyAlignment="1">
      <alignment horizontal="center" vertical="center" wrapText="1"/>
    </xf>
    <xf numFmtId="0" fontId="21" fillId="10" borderId="0" xfId="0" applyFont="1" applyFill="1" applyAlignment="1">
      <alignment horizontal="center" vertical="center"/>
    </xf>
    <xf numFmtId="0" fontId="22" fillId="10" borderId="4" xfId="0" applyFont="1" applyFill="1" applyBorder="1" applyAlignment="1">
      <alignment horizontal="center" vertical="center" wrapText="1"/>
    </xf>
    <xf numFmtId="166" fontId="23" fillId="10" borderId="0" xfId="0" applyNumberFormat="1" applyFont="1" applyFill="1" applyAlignment="1">
      <alignment horizontal="center" vertical="center" wrapText="1"/>
    </xf>
    <xf numFmtId="166" fontId="23" fillId="10" borderId="4" xfId="0" applyNumberFormat="1" applyFont="1" applyFill="1" applyBorder="1" applyAlignment="1">
      <alignment horizontal="center" vertical="center" wrapText="1"/>
    </xf>
    <xf numFmtId="166" fontId="23" fillId="10" borderId="16" xfId="0" applyNumberFormat="1" applyFont="1" applyFill="1" applyBorder="1" applyAlignment="1">
      <alignment horizontal="center" vertical="center" wrapText="1"/>
    </xf>
    <xf numFmtId="0" fontId="20" fillId="10" borderId="16" xfId="0" applyFont="1" applyFill="1" applyBorder="1" applyAlignment="1">
      <alignment horizontal="center" vertical="center"/>
    </xf>
    <xf numFmtId="0" fontId="15" fillId="6" borderId="11" xfId="0" applyFont="1" applyFill="1" applyBorder="1" applyAlignment="1">
      <alignment horizontal="left" vertical="center"/>
    </xf>
    <xf numFmtId="0" fontId="16" fillId="6" borderId="11" xfId="0" applyFont="1" applyFill="1" applyBorder="1" applyAlignment="1">
      <alignment horizontal="right" vertical="center"/>
    </xf>
    <xf numFmtId="0" fontId="17" fillId="6" borderId="0" xfId="0" applyFont="1" applyFill="1" applyAlignment="1">
      <alignment horizontal="right" vertical="center"/>
    </xf>
    <xf numFmtId="0" fontId="18" fillId="6" borderId="15" xfId="0" applyFont="1" applyFill="1" applyBorder="1" applyAlignment="1">
      <alignment horizontal="center" vertical="center"/>
    </xf>
    <xf numFmtId="3" fontId="19" fillId="6" borderId="15" xfId="0" applyNumberFormat="1" applyFont="1" applyFill="1" applyBorder="1" applyAlignment="1">
      <alignment horizontal="center" vertical="center"/>
    </xf>
    <xf numFmtId="0" fontId="18" fillId="6" borderId="9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21" fillId="6" borderId="15" xfId="0" applyFont="1" applyFill="1" applyBorder="1" applyAlignment="1">
      <alignment horizontal="center" vertical="center"/>
    </xf>
    <xf numFmtId="0" fontId="18" fillId="6" borderId="15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/>
    </xf>
    <xf numFmtId="0" fontId="21" fillId="6" borderId="0" xfId="0" applyFont="1" applyFill="1" applyAlignment="1">
      <alignment horizontal="center" vertical="center" wrapText="1"/>
    </xf>
    <xf numFmtId="0" fontId="21" fillId="6" borderId="0" xfId="0" applyFont="1" applyFill="1" applyAlignment="1">
      <alignment horizontal="center" vertical="center"/>
    </xf>
    <xf numFmtId="0" fontId="22" fillId="6" borderId="4" xfId="0" applyFont="1" applyFill="1" applyBorder="1" applyAlignment="1">
      <alignment horizontal="center" vertical="center" wrapText="1"/>
    </xf>
    <xf numFmtId="166" fontId="23" fillId="6" borderId="0" xfId="0" applyNumberFormat="1" applyFont="1" applyFill="1" applyAlignment="1">
      <alignment horizontal="center" vertical="center" wrapText="1"/>
    </xf>
    <xf numFmtId="166" fontId="23" fillId="6" borderId="4" xfId="0" applyNumberFormat="1" applyFont="1" applyFill="1" applyBorder="1" applyAlignment="1">
      <alignment horizontal="center" vertical="center" wrapText="1"/>
    </xf>
    <xf numFmtId="166" fontId="23" fillId="6" borderId="16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/>
    </xf>
    <xf numFmtId="0" fontId="15" fillId="11" borderId="11" xfId="0" applyFont="1" applyFill="1" applyBorder="1" applyAlignment="1">
      <alignment horizontal="left" vertical="center"/>
    </xf>
    <xf numFmtId="0" fontId="15" fillId="11" borderId="0" xfId="0" applyFont="1" applyFill="1" applyAlignment="1">
      <alignment horizontal="center" vertical="center"/>
    </xf>
    <xf numFmtId="0" fontId="16" fillId="11" borderId="11" xfId="0" applyFont="1" applyFill="1" applyBorder="1" applyAlignment="1">
      <alignment horizontal="right" vertical="center"/>
    </xf>
    <xf numFmtId="0" fontId="17" fillId="11" borderId="0" xfId="0" applyFont="1" applyFill="1" applyAlignment="1">
      <alignment horizontal="right" vertical="center"/>
    </xf>
    <xf numFmtId="0" fontId="18" fillId="11" borderId="15" xfId="0" applyFont="1" applyFill="1" applyBorder="1" applyAlignment="1">
      <alignment horizontal="center" vertical="center"/>
    </xf>
    <xf numFmtId="3" fontId="19" fillId="11" borderId="15" xfId="0" applyNumberFormat="1" applyFont="1" applyFill="1" applyBorder="1" applyAlignment="1">
      <alignment horizontal="center" vertical="center"/>
    </xf>
    <xf numFmtId="0" fontId="18" fillId="11" borderId="9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21" fillId="11" borderId="15" xfId="0" applyFont="1" applyFill="1" applyBorder="1" applyAlignment="1">
      <alignment horizontal="center" vertical="center"/>
    </xf>
    <xf numFmtId="0" fontId="18" fillId="11" borderId="15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/>
    </xf>
    <xf numFmtId="0" fontId="21" fillId="11" borderId="0" xfId="0" applyFont="1" applyFill="1" applyAlignment="1">
      <alignment horizontal="center" vertical="center" wrapText="1"/>
    </xf>
    <xf numFmtId="0" fontId="21" fillId="11" borderId="0" xfId="0" applyFont="1" applyFill="1" applyAlignment="1">
      <alignment horizontal="center" vertical="center"/>
    </xf>
    <xf numFmtId="0" fontId="22" fillId="11" borderId="4" xfId="0" applyFont="1" applyFill="1" applyBorder="1" applyAlignment="1">
      <alignment horizontal="center" vertical="center" wrapText="1"/>
    </xf>
    <xf numFmtId="166" fontId="23" fillId="11" borderId="0" xfId="0" applyNumberFormat="1" applyFont="1" applyFill="1" applyAlignment="1">
      <alignment horizontal="center" vertical="center" wrapText="1"/>
    </xf>
    <xf numFmtId="166" fontId="23" fillId="11" borderId="4" xfId="0" applyNumberFormat="1" applyFont="1" applyFill="1" applyBorder="1" applyAlignment="1">
      <alignment horizontal="center" vertical="center" wrapText="1"/>
    </xf>
    <xf numFmtId="166" fontId="23" fillId="11" borderId="16" xfId="0" applyNumberFormat="1" applyFont="1" applyFill="1" applyBorder="1" applyAlignment="1">
      <alignment horizontal="center" vertical="center" wrapText="1"/>
    </xf>
    <xf numFmtId="0" fontId="20" fillId="11" borderId="16" xfId="0" applyFont="1" applyFill="1" applyBorder="1" applyAlignment="1">
      <alignment horizontal="center" vertical="center"/>
    </xf>
    <xf numFmtId="14" fontId="25" fillId="3" borderId="4" xfId="0" applyNumberFormat="1" applyFont="1" applyFill="1" applyBorder="1" applyAlignment="1">
      <alignment horizontal="center" vertical="center"/>
    </xf>
    <xf numFmtId="0" fontId="26" fillId="6" borderId="4" xfId="0" applyFont="1" applyFill="1" applyBorder="1" applyAlignment="1">
      <alignment horizontal="center" vertical="center"/>
    </xf>
    <xf numFmtId="0" fontId="27" fillId="6" borderId="3" xfId="0" applyFont="1" applyFill="1" applyBorder="1" applyAlignment="1">
      <alignment horizontal="center" vertical="center"/>
    </xf>
    <xf numFmtId="0" fontId="26" fillId="6" borderId="4" xfId="0" applyFont="1" applyFill="1" applyBorder="1" applyAlignment="1">
      <alignment horizontal="center" vertical="center" wrapText="1"/>
    </xf>
    <xf numFmtId="0" fontId="27" fillId="6" borderId="3" xfId="0" applyFont="1" applyFill="1" applyBorder="1" applyAlignment="1">
      <alignment horizontal="center" vertical="center" wrapText="1"/>
    </xf>
    <xf numFmtId="0" fontId="26" fillId="6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369F5-4DF8-470F-BCAD-91046CB5C437}">
  <dimension ref="A1:Z1000"/>
  <sheetViews>
    <sheetView tabSelected="1" workbookViewId="0">
      <selection activeCell="F15" sqref="F15:X15"/>
    </sheetView>
  </sheetViews>
  <sheetFormatPr baseColWidth="10" defaultColWidth="14.42578125" defaultRowHeight="15"/>
  <cols>
    <col min="1" max="1" width="18.5703125" customWidth="1"/>
    <col min="2" max="2" width="35.5703125" customWidth="1"/>
    <col min="3" max="3" width="15.5703125" customWidth="1"/>
    <col min="4" max="4" width="10.140625" customWidth="1"/>
    <col min="5" max="5" width="10.42578125" customWidth="1"/>
    <col min="6" max="6" width="10.5703125" customWidth="1"/>
    <col min="7" max="7" width="9.5703125" customWidth="1"/>
    <col min="8" max="8" width="10.7109375" customWidth="1"/>
    <col min="9" max="9" width="15.5703125" customWidth="1"/>
    <col min="10" max="10" width="8.140625" customWidth="1"/>
    <col min="11" max="11" width="8.7109375" customWidth="1"/>
    <col min="12" max="14" width="12.42578125" customWidth="1"/>
    <col min="15" max="15" width="14.28515625" customWidth="1"/>
    <col min="16" max="16" width="15" customWidth="1"/>
    <col min="17" max="17" width="6" customWidth="1"/>
    <col min="18" max="20" width="10.140625" customWidth="1"/>
    <col min="21" max="21" width="11.42578125" customWidth="1"/>
    <col min="22" max="22" width="11.5703125" customWidth="1"/>
    <col min="23" max="23" width="14.5703125" customWidth="1"/>
    <col min="24" max="24" width="15.5703125" customWidth="1"/>
    <col min="25" max="25" width="3.28515625" customWidth="1"/>
    <col min="26" max="26" width="13.7109375" customWidth="1"/>
  </cols>
  <sheetData>
    <row r="1" spans="1:26" ht="30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  <c r="Y1" s="4"/>
      <c r="Z1" s="5"/>
    </row>
    <row r="2" spans="1:26" ht="30.75" customHeight="1">
      <c r="A2" s="6" t="s">
        <v>1</v>
      </c>
      <c r="B2" s="2"/>
      <c r="C2" s="2"/>
      <c r="D2" s="2"/>
      <c r="E2" s="3"/>
      <c r="F2" s="7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"/>
      <c r="Y2" s="4"/>
      <c r="Z2" s="5"/>
    </row>
    <row r="3" spans="1:26" ht="23.25">
      <c r="A3" s="6" t="s">
        <v>2</v>
      </c>
      <c r="B3" s="2"/>
      <c r="C3" s="2"/>
      <c r="D3" s="2"/>
      <c r="E3" s="3"/>
      <c r="F3" s="8"/>
      <c r="G3" s="2"/>
      <c r="H3" s="2"/>
      <c r="I3" s="2"/>
      <c r="J3" s="2"/>
      <c r="K3" s="2"/>
      <c r="L3" s="3"/>
      <c r="M3" s="1" t="s">
        <v>3</v>
      </c>
      <c r="N3" s="2"/>
      <c r="O3" s="3"/>
      <c r="P3" s="8"/>
      <c r="Q3" s="2"/>
      <c r="R3" s="2"/>
      <c r="S3" s="2"/>
      <c r="T3" s="3"/>
      <c r="U3" s="1" t="s">
        <v>4</v>
      </c>
      <c r="V3" s="3"/>
      <c r="W3" s="8"/>
      <c r="X3" s="3"/>
      <c r="Y3" s="4"/>
      <c r="Z3" s="5"/>
    </row>
    <row r="4" spans="1:26" ht="23.25">
      <c r="A4" s="6" t="s">
        <v>5</v>
      </c>
      <c r="B4" s="2"/>
      <c r="C4" s="2"/>
      <c r="D4" s="2"/>
      <c r="E4" s="3"/>
      <c r="F4" s="8"/>
      <c r="G4" s="2"/>
      <c r="H4" s="2"/>
      <c r="I4" s="2"/>
      <c r="J4" s="2"/>
      <c r="K4" s="2"/>
      <c r="L4" s="3"/>
      <c r="M4" s="1" t="s">
        <v>6</v>
      </c>
      <c r="N4" s="2"/>
      <c r="O4" s="3"/>
      <c r="P4" s="9"/>
      <c r="Q4" s="2"/>
      <c r="R4" s="2"/>
      <c r="S4" s="2"/>
      <c r="T4" s="3"/>
      <c r="U4" s="1" t="s">
        <v>7</v>
      </c>
      <c r="V4" s="3"/>
      <c r="W4" s="10"/>
      <c r="X4" s="3"/>
      <c r="Y4" s="4"/>
      <c r="Z4" s="5"/>
    </row>
    <row r="5" spans="1:26" ht="23.25">
      <c r="A5" s="6" t="s">
        <v>8</v>
      </c>
      <c r="B5" s="2"/>
      <c r="C5" s="2"/>
      <c r="D5" s="2"/>
      <c r="E5" s="3"/>
      <c r="F5" s="8"/>
      <c r="G5" s="2"/>
      <c r="H5" s="2"/>
      <c r="I5" s="2"/>
      <c r="J5" s="2"/>
      <c r="K5" s="2"/>
      <c r="L5" s="3"/>
      <c r="M5" s="1" t="s">
        <v>6</v>
      </c>
      <c r="N5" s="2"/>
      <c r="O5" s="3"/>
      <c r="P5" s="9"/>
      <c r="Q5" s="2"/>
      <c r="R5" s="2"/>
      <c r="S5" s="2"/>
      <c r="T5" s="3"/>
      <c r="U5" s="1" t="s">
        <v>7</v>
      </c>
      <c r="V5" s="3"/>
      <c r="W5" s="10"/>
      <c r="X5" s="3"/>
      <c r="Y5" s="4"/>
      <c r="Z5" s="5"/>
    </row>
    <row r="6" spans="1:26" ht="7.5" customHeight="1">
      <c r="A6" s="11"/>
      <c r="B6" s="11"/>
      <c r="C6" s="12"/>
      <c r="D6" s="11"/>
      <c r="E6" s="11"/>
      <c r="F6" s="13"/>
      <c r="G6" s="13"/>
      <c r="H6" s="13"/>
      <c r="I6" s="13"/>
      <c r="J6" s="13"/>
      <c r="K6" s="14"/>
      <c r="L6" s="2"/>
      <c r="M6" s="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4"/>
      <c r="Z6" s="5"/>
    </row>
    <row r="7" spans="1:26" ht="19.5">
      <c r="A7" s="15" t="s">
        <v>9</v>
      </c>
      <c r="B7" s="3"/>
      <c r="C7" s="16" t="s">
        <v>10</v>
      </c>
      <c r="D7" s="2"/>
      <c r="E7" s="3"/>
      <c r="F7" s="15" t="s">
        <v>11</v>
      </c>
      <c r="G7" s="2"/>
      <c r="H7" s="2"/>
      <c r="I7" s="2"/>
      <c r="J7" s="3"/>
      <c r="K7" s="17" t="s">
        <v>12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3"/>
      <c r="Y7" s="18"/>
      <c r="Z7" s="5"/>
    </row>
    <row r="8" spans="1:26" ht="19.5">
      <c r="A8" s="19">
        <v>100</v>
      </c>
      <c r="B8" s="20"/>
      <c r="C8" s="21">
        <v>200</v>
      </c>
      <c r="D8" s="22"/>
      <c r="E8" s="20"/>
      <c r="F8" s="19">
        <v>300</v>
      </c>
      <c r="G8" s="22"/>
      <c r="H8" s="22"/>
      <c r="I8" s="22"/>
      <c r="J8" s="20"/>
      <c r="K8" s="17" t="s">
        <v>13</v>
      </c>
      <c r="L8" s="2"/>
      <c r="M8" s="3"/>
      <c r="N8" s="23">
        <v>1</v>
      </c>
      <c r="O8" s="17" t="s">
        <v>14</v>
      </c>
      <c r="P8" s="3"/>
      <c r="Q8" s="17" t="s">
        <v>15</v>
      </c>
      <c r="R8" s="2"/>
      <c r="S8" s="3"/>
      <c r="T8" s="17" t="s">
        <v>16</v>
      </c>
      <c r="U8" s="2"/>
      <c r="V8" s="2"/>
      <c r="W8" s="2"/>
      <c r="X8" s="3"/>
      <c r="Y8" s="4"/>
      <c r="Z8" s="5"/>
    </row>
    <row r="9" spans="1:26" ht="16.5">
      <c r="A9" s="24"/>
      <c r="B9" s="25"/>
      <c r="C9" s="24"/>
      <c r="D9" s="26"/>
      <c r="E9" s="25"/>
      <c r="F9" s="24"/>
      <c r="G9" s="26"/>
      <c r="H9" s="26"/>
      <c r="I9" s="26"/>
      <c r="J9" s="25"/>
      <c r="K9" s="27" t="s">
        <v>17</v>
      </c>
      <c r="L9" s="2"/>
      <c r="M9" s="3"/>
      <c r="N9" s="28" t="e">
        <f>N8*O9/T12</f>
        <v>#DIV/0!</v>
      </c>
      <c r="O9" s="29"/>
      <c r="P9" s="3"/>
      <c r="Q9" s="30"/>
      <c r="R9" s="2"/>
      <c r="S9" s="3"/>
      <c r="T9" s="31">
        <f>O9+O10+O11+O12+O13</f>
        <v>0</v>
      </c>
      <c r="U9" s="22"/>
      <c r="V9" s="22"/>
      <c r="W9" s="22"/>
      <c r="X9" s="20"/>
      <c r="Y9" s="4"/>
      <c r="Z9" s="5"/>
    </row>
    <row r="10" spans="1:26" ht="16.5">
      <c r="A10" s="24"/>
      <c r="B10" s="25"/>
      <c r="C10" s="24"/>
      <c r="D10" s="26"/>
      <c r="E10" s="25"/>
      <c r="F10" s="24"/>
      <c r="G10" s="26"/>
      <c r="H10" s="26"/>
      <c r="I10" s="26"/>
      <c r="J10" s="25"/>
      <c r="K10" s="27" t="s">
        <v>18</v>
      </c>
      <c r="L10" s="2"/>
      <c r="M10" s="3"/>
      <c r="N10" s="28" t="e">
        <f>N8*O10/T12</f>
        <v>#DIV/0!</v>
      </c>
      <c r="O10" s="29"/>
      <c r="P10" s="3"/>
      <c r="Q10" s="30"/>
      <c r="R10" s="2"/>
      <c r="S10" s="3"/>
      <c r="T10" s="32"/>
      <c r="U10" s="33"/>
      <c r="V10" s="33"/>
      <c r="W10" s="33"/>
      <c r="X10" s="34"/>
      <c r="Y10" s="4"/>
      <c r="Z10" s="5"/>
    </row>
    <row r="11" spans="1:26" ht="19.5">
      <c r="A11" s="24"/>
      <c r="B11" s="25"/>
      <c r="C11" s="24"/>
      <c r="D11" s="26"/>
      <c r="E11" s="25"/>
      <c r="F11" s="24"/>
      <c r="G11" s="26"/>
      <c r="H11" s="26"/>
      <c r="I11" s="26"/>
      <c r="J11" s="25"/>
      <c r="K11" s="27" t="s">
        <v>19</v>
      </c>
      <c r="L11" s="2"/>
      <c r="M11" s="3"/>
      <c r="N11" s="28" t="e">
        <f>O11*N8/T12</f>
        <v>#DIV/0!</v>
      </c>
      <c r="O11" s="29"/>
      <c r="P11" s="3"/>
      <c r="Q11" s="30"/>
      <c r="R11" s="2"/>
      <c r="S11" s="3"/>
      <c r="T11" s="17" t="s">
        <v>20</v>
      </c>
      <c r="U11" s="2"/>
      <c r="V11" s="2"/>
      <c r="W11" s="2"/>
      <c r="X11" s="3"/>
      <c r="Y11" s="4"/>
      <c r="Z11" s="5"/>
    </row>
    <row r="12" spans="1:26" ht="16.5">
      <c r="A12" s="24"/>
      <c r="B12" s="25"/>
      <c r="C12" s="24"/>
      <c r="D12" s="26"/>
      <c r="E12" s="25"/>
      <c r="F12" s="24"/>
      <c r="G12" s="26"/>
      <c r="H12" s="26"/>
      <c r="I12" s="26"/>
      <c r="J12" s="25"/>
      <c r="K12" s="27" t="s">
        <v>21</v>
      </c>
      <c r="L12" s="2"/>
      <c r="M12" s="3"/>
      <c r="N12" s="28" t="e">
        <f>O12*N8/T12</f>
        <v>#DIV/0!</v>
      </c>
      <c r="O12" s="29"/>
      <c r="P12" s="3"/>
      <c r="Q12" s="30"/>
      <c r="R12" s="2"/>
      <c r="S12" s="3"/>
      <c r="T12" s="31">
        <v>0</v>
      </c>
      <c r="U12" s="22"/>
      <c r="V12" s="22"/>
      <c r="W12" s="22"/>
      <c r="X12" s="20"/>
      <c r="Y12" s="4"/>
      <c r="Z12" s="5"/>
    </row>
    <row r="13" spans="1:26" ht="16.5">
      <c r="A13" s="32"/>
      <c r="B13" s="34"/>
      <c r="C13" s="32"/>
      <c r="D13" s="33"/>
      <c r="E13" s="34"/>
      <c r="F13" s="32"/>
      <c r="G13" s="33"/>
      <c r="H13" s="33"/>
      <c r="I13" s="33"/>
      <c r="J13" s="34"/>
      <c r="K13" s="27" t="s">
        <v>22</v>
      </c>
      <c r="L13" s="2"/>
      <c r="M13" s="3"/>
      <c r="N13" s="28" t="e">
        <f>O13*N8/T12</f>
        <v>#DIV/0!</v>
      </c>
      <c r="O13" s="29"/>
      <c r="P13" s="3"/>
      <c r="Q13" s="30"/>
      <c r="R13" s="2"/>
      <c r="S13" s="3"/>
      <c r="T13" s="32"/>
      <c r="U13" s="33"/>
      <c r="V13" s="33"/>
      <c r="W13" s="33"/>
      <c r="X13" s="34"/>
      <c r="Y13" s="4"/>
      <c r="Z13" s="5"/>
    </row>
    <row r="14" spans="1:26" ht="7.5" customHeight="1">
      <c r="A14" s="11"/>
      <c r="B14" s="11"/>
      <c r="C14" s="12"/>
      <c r="D14" s="11"/>
      <c r="E14" s="11"/>
      <c r="F14" s="13"/>
      <c r="G14" s="13"/>
      <c r="H14" s="13"/>
      <c r="I14" s="13"/>
      <c r="J14" s="13"/>
      <c r="K14" s="14"/>
      <c r="L14" s="2"/>
      <c r="M14" s="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4"/>
      <c r="Z14" s="5"/>
    </row>
    <row r="15" spans="1:26" ht="30.75" customHeight="1">
      <c r="A15" s="35" t="s">
        <v>23</v>
      </c>
      <c r="B15" s="2"/>
      <c r="C15" s="2"/>
      <c r="D15" s="2"/>
      <c r="E15" s="3"/>
      <c r="F15" s="36">
        <f>A8+C8+F8+T9</f>
        <v>600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3"/>
      <c r="Y15" s="4"/>
      <c r="Z15" s="37">
        <f>T9</f>
        <v>0</v>
      </c>
    </row>
    <row r="16" spans="1:26" ht="30.75" customHeight="1">
      <c r="A16" s="35" t="s">
        <v>24</v>
      </c>
      <c r="B16" s="2"/>
      <c r="C16" s="2"/>
      <c r="D16" s="2"/>
      <c r="E16" s="3"/>
      <c r="F16" s="36">
        <f>S23+S54+S85+S117+S129+S141+S153+S166+S178+S190+S202+S214+S226+S238+S250+S262+S274+S286+S298+S310+S322+S334+S346+S359+S372+S384</f>
        <v>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3"/>
      <c r="Y16" s="4"/>
      <c r="Z16" s="5"/>
    </row>
    <row r="17" spans="1:26" ht="30.75" customHeight="1" thickBot="1">
      <c r="A17" s="35" t="s">
        <v>25</v>
      </c>
      <c r="B17" s="2"/>
      <c r="C17" s="2"/>
      <c r="D17" s="2"/>
      <c r="E17" s="3"/>
      <c r="F17" s="36">
        <f>F15-F16</f>
        <v>600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3"/>
      <c r="Y17" s="4"/>
      <c r="Z17" s="5"/>
    </row>
    <row r="18" spans="1:26" ht="28.5" customHeight="1">
      <c r="A18" s="38" t="s">
        <v>26</v>
      </c>
      <c r="B18" s="2"/>
      <c r="C18" s="3"/>
      <c r="D18" s="39"/>
      <c r="E18" s="2"/>
      <c r="F18" s="3"/>
      <c r="G18" s="38" t="s">
        <v>27</v>
      </c>
      <c r="H18" s="2"/>
      <c r="I18" s="2"/>
      <c r="J18" s="2"/>
      <c r="K18" s="2"/>
      <c r="L18" s="3"/>
      <c r="M18" s="39"/>
      <c r="N18" s="2"/>
      <c r="O18" s="3"/>
      <c r="P18" s="38" t="s">
        <v>28</v>
      </c>
      <c r="Q18" s="2"/>
      <c r="R18" s="2"/>
      <c r="S18" s="2"/>
      <c r="T18" s="3"/>
      <c r="U18" s="39" t="str">
        <f>IF(M18&lt;=$A$394,"FINALIZADO","ACTIVO")</f>
        <v>FINALIZADO</v>
      </c>
      <c r="V18" s="2"/>
      <c r="W18" s="2"/>
      <c r="X18" s="3"/>
      <c r="Y18" s="40"/>
      <c r="Z18" s="5"/>
    </row>
    <row r="19" spans="1:26" ht="23.25">
      <c r="A19" s="6" t="s">
        <v>29</v>
      </c>
      <c r="B19" s="2"/>
      <c r="C19" s="2"/>
      <c r="D19" s="2"/>
      <c r="E19" s="3"/>
      <c r="F19" s="8"/>
      <c r="G19" s="2"/>
      <c r="H19" s="2"/>
      <c r="I19" s="2"/>
      <c r="J19" s="2"/>
      <c r="K19" s="2"/>
      <c r="L19" s="3"/>
      <c r="M19" s="1" t="s">
        <v>6</v>
      </c>
      <c r="N19" s="2"/>
      <c r="O19" s="3"/>
      <c r="P19" s="9"/>
      <c r="Q19" s="2"/>
      <c r="R19" s="2"/>
      <c r="S19" s="2"/>
      <c r="T19" s="3"/>
      <c r="U19" s="1" t="s">
        <v>7</v>
      </c>
      <c r="V19" s="3"/>
      <c r="W19" s="10"/>
      <c r="X19" s="3"/>
      <c r="Y19" s="4"/>
      <c r="Z19" s="5"/>
    </row>
    <row r="20" spans="1:26" ht="9.75" customHeight="1">
      <c r="A20" s="41"/>
      <c r="B20" s="42"/>
      <c r="C20" s="43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4"/>
      <c r="Y20" s="45"/>
      <c r="Z20" s="5"/>
    </row>
    <row r="21" spans="1:26" ht="31.5" customHeight="1">
      <c r="A21" s="46" t="s">
        <v>30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47"/>
      <c r="Z21" s="5"/>
    </row>
    <row r="22" spans="1:26" ht="21.75" customHeight="1">
      <c r="A22" s="48" t="s">
        <v>31</v>
      </c>
      <c r="B22" s="48" t="s">
        <v>32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9" t="s">
        <v>33</v>
      </c>
      <c r="P22" s="33"/>
      <c r="Q22" s="33"/>
      <c r="R22" s="33"/>
      <c r="S22" s="50"/>
      <c r="T22" s="33"/>
      <c r="U22" s="33"/>
      <c r="V22" s="33"/>
      <c r="W22" s="33"/>
      <c r="X22" s="33"/>
      <c r="Y22" s="47"/>
      <c r="Z22" s="5"/>
    </row>
    <row r="23" spans="1:26" ht="20.25" customHeight="1">
      <c r="A23" s="51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49" t="s">
        <v>34</v>
      </c>
      <c r="P23" s="33"/>
      <c r="Q23" s="33"/>
      <c r="R23" s="33"/>
      <c r="S23" s="50">
        <f>SUBTOTAL(109,P23:P51)</f>
        <v>0</v>
      </c>
      <c r="T23" s="33"/>
      <c r="U23" s="33"/>
      <c r="V23" s="33"/>
      <c r="W23" s="33"/>
      <c r="X23" s="33"/>
      <c r="Y23" s="47"/>
      <c r="Z23" s="5"/>
    </row>
    <row r="24" spans="1:26" ht="20.2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52" t="s">
        <v>35</v>
      </c>
      <c r="P24" s="51"/>
      <c r="Q24" s="51"/>
      <c r="R24" s="51"/>
      <c r="S24" s="50">
        <f>S22-S23</f>
        <v>0</v>
      </c>
      <c r="T24" s="33"/>
      <c r="U24" s="33"/>
      <c r="V24" s="33"/>
      <c r="W24" s="33"/>
      <c r="X24" s="33"/>
      <c r="Y24" s="4"/>
      <c r="Z24" s="5"/>
    </row>
    <row r="25" spans="1:26" ht="15.75" customHeight="1">
      <c r="A25" s="53" t="s">
        <v>36</v>
      </c>
      <c r="B25" s="53" t="s">
        <v>37</v>
      </c>
      <c r="C25" s="54" t="s">
        <v>6</v>
      </c>
      <c r="D25" s="55" t="s">
        <v>38</v>
      </c>
      <c r="E25" s="2"/>
      <c r="F25" s="2"/>
      <c r="G25" s="2"/>
      <c r="H25" s="3"/>
      <c r="I25" s="56" t="s">
        <v>39</v>
      </c>
      <c r="J25" s="53" t="s">
        <v>40</v>
      </c>
      <c r="K25" s="57" t="s">
        <v>41</v>
      </c>
      <c r="L25" s="58" t="s">
        <v>42</v>
      </c>
      <c r="M25" s="58" t="s">
        <v>43</v>
      </c>
      <c r="N25" s="53" t="s">
        <v>44</v>
      </c>
      <c r="O25" s="53" t="s">
        <v>45</v>
      </c>
      <c r="P25" s="58" t="s">
        <v>46</v>
      </c>
      <c r="Q25" s="59" t="s">
        <v>47</v>
      </c>
      <c r="R25" s="2"/>
      <c r="S25" s="2"/>
      <c r="T25" s="2"/>
      <c r="U25" s="2"/>
      <c r="V25" s="3"/>
      <c r="W25" s="60" t="s">
        <v>48</v>
      </c>
      <c r="X25" s="61" t="s">
        <v>49</v>
      </c>
      <c r="Y25" s="4"/>
      <c r="Z25" s="5"/>
    </row>
    <row r="26" spans="1:26" ht="18.75" customHeight="1">
      <c r="A26" s="62"/>
      <c r="B26" s="62"/>
      <c r="C26" s="62"/>
      <c r="D26" s="63" t="s">
        <v>50</v>
      </c>
      <c r="E26" s="64" t="s">
        <v>51</v>
      </c>
      <c r="F26" s="64" t="s">
        <v>52</v>
      </c>
      <c r="G26" s="64" t="s">
        <v>53</v>
      </c>
      <c r="H26" s="64" t="s">
        <v>54</v>
      </c>
      <c r="I26" s="62"/>
      <c r="J26" s="62"/>
      <c r="K26" s="62"/>
      <c r="L26" s="62"/>
      <c r="M26" s="62"/>
      <c r="N26" s="62"/>
      <c r="O26" s="62"/>
      <c r="P26" s="62"/>
      <c r="Q26" s="65" t="s">
        <v>55</v>
      </c>
      <c r="R26" s="66" t="s">
        <v>56</v>
      </c>
      <c r="S26" s="66" t="s">
        <v>57</v>
      </c>
      <c r="T26" s="66" t="s">
        <v>58</v>
      </c>
      <c r="U26" s="67" t="s">
        <v>59</v>
      </c>
      <c r="V26" s="68" t="s">
        <v>60</v>
      </c>
      <c r="W26" s="51"/>
      <c r="X26" s="51"/>
      <c r="Y26" s="4"/>
      <c r="Z26" s="5"/>
    </row>
    <row r="27" spans="1:26" ht="12.75" customHeight="1">
      <c r="A27" s="69"/>
      <c r="B27" s="70"/>
      <c r="C27" s="71"/>
      <c r="D27" s="72"/>
      <c r="E27" s="72"/>
      <c r="F27" s="72"/>
      <c r="G27" s="72"/>
      <c r="H27" s="72"/>
      <c r="I27" s="73"/>
      <c r="J27" s="74"/>
      <c r="K27" s="73"/>
      <c r="L27" s="75"/>
      <c r="M27" s="75"/>
      <c r="N27" s="73" t="str">
        <f>IF(M27&lt;=$A$394,"FINALIZADO","ACTIVO")</f>
        <v>FINALIZADO</v>
      </c>
      <c r="O27" s="74"/>
      <c r="P27" s="76">
        <f>O27*4/1000+O27</f>
        <v>0</v>
      </c>
      <c r="Q27" s="77"/>
      <c r="R27" s="78"/>
      <c r="S27" s="77"/>
      <c r="T27" s="79"/>
      <c r="U27" s="80"/>
      <c r="V27" s="80">
        <f t="shared" ref="V27:V51" si="0">U27*4/1000+U27</f>
        <v>0</v>
      </c>
      <c r="W27" s="81">
        <f>P27-V27-V28-V29-V30-V31</f>
        <v>0</v>
      </c>
      <c r="X27" s="82"/>
      <c r="Y27" s="45"/>
      <c r="Z27" s="5"/>
    </row>
    <row r="28" spans="1:26" ht="12.75" customHeight="1">
      <c r="A28" s="83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77"/>
      <c r="R28" s="77"/>
      <c r="S28" s="77"/>
      <c r="T28" s="79"/>
      <c r="U28" s="79"/>
      <c r="V28" s="80">
        <f t="shared" si="0"/>
        <v>0</v>
      </c>
      <c r="W28" s="83"/>
      <c r="X28" s="83"/>
      <c r="Y28" s="45"/>
      <c r="Z28" s="5"/>
    </row>
    <row r="29" spans="1:26" ht="12.75" customHeight="1">
      <c r="A29" s="83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77"/>
      <c r="R29" s="77"/>
      <c r="S29" s="77"/>
      <c r="T29" s="79"/>
      <c r="U29" s="79"/>
      <c r="V29" s="80">
        <f t="shared" si="0"/>
        <v>0</v>
      </c>
      <c r="W29" s="83"/>
      <c r="X29" s="83"/>
      <c r="Y29" s="45"/>
      <c r="Z29" s="5"/>
    </row>
    <row r="30" spans="1:26" ht="12.75" customHeight="1">
      <c r="A30" s="83"/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77"/>
      <c r="R30" s="77"/>
      <c r="S30" s="77"/>
      <c r="T30" s="79"/>
      <c r="U30" s="79"/>
      <c r="V30" s="80">
        <f t="shared" si="0"/>
        <v>0</v>
      </c>
      <c r="W30" s="83"/>
      <c r="X30" s="83"/>
      <c r="Y30" s="45"/>
      <c r="Z30" s="5"/>
    </row>
    <row r="31" spans="1:26" ht="12.75" customHeight="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77"/>
      <c r="R31" s="77"/>
      <c r="S31" s="77"/>
      <c r="T31" s="79"/>
      <c r="U31" s="79"/>
      <c r="V31" s="80">
        <f t="shared" si="0"/>
        <v>0</v>
      </c>
      <c r="W31" s="62"/>
      <c r="X31" s="62"/>
      <c r="Y31" s="45"/>
      <c r="Z31" s="5"/>
    </row>
    <row r="32" spans="1:26" ht="12.75" customHeight="1">
      <c r="A32" s="84"/>
      <c r="B32" s="85"/>
      <c r="C32" s="86"/>
      <c r="D32" s="87"/>
      <c r="E32" s="87"/>
      <c r="F32" s="87"/>
      <c r="G32" s="87"/>
      <c r="H32" s="87"/>
      <c r="I32" s="88"/>
      <c r="J32" s="89"/>
      <c r="K32" s="88"/>
      <c r="L32" s="90"/>
      <c r="M32" s="88"/>
      <c r="N32" s="88" t="str">
        <f>IF(M32&lt;=$A$394,"FINALIZADO","ACTIVO")</f>
        <v>FINALIZADO</v>
      </c>
      <c r="O32" s="89"/>
      <c r="P32" s="91">
        <f>O32*4/1000+O32</f>
        <v>0</v>
      </c>
      <c r="Q32" s="92"/>
      <c r="R32" s="92"/>
      <c r="S32" s="92"/>
      <c r="T32" s="93"/>
      <c r="U32" s="93"/>
      <c r="V32" s="94">
        <f t="shared" si="0"/>
        <v>0</v>
      </c>
      <c r="W32" s="95">
        <f>P32-V32-V33-V34-V35-V36</f>
        <v>0</v>
      </c>
      <c r="X32" s="96"/>
      <c r="Y32" s="45"/>
      <c r="Z32" s="5"/>
    </row>
    <row r="33" spans="1:26" ht="12.75" customHeight="1">
      <c r="A33" s="83"/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92"/>
      <c r="R33" s="92"/>
      <c r="S33" s="92"/>
      <c r="T33" s="93"/>
      <c r="U33" s="93"/>
      <c r="V33" s="94">
        <f t="shared" si="0"/>
        <v>0</v>
      </c>
      <c r="W33" s="83"/>
      <c r="X33" s="83"/>
      <c r="Y33" s="45"/>
      <c r="Z33" s="5"/>
    </row>
    <row r="34" spans="1:26" ht="12.75" customHeight="1">
      <c r="A34" s="83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92"/>
      <c r="R34" s="92"/>
      <c r="S34" s="92"/>
      <c r="T34" s="93"/>
      <c r="U34" s="93"/>
      <c r="V34" s="94">
        <f t="shared" si="0"/>
        <v>0</v>
      </c>
      <c r="W34" s="83"/>
      <c r="X34" s="83"/>
      <c r="Y34" s="45"/>
      <c r="Z34" s="5"/>
    </row>
    <row r="35" spans="1:26" ht="15" customHeight="1">
      <c r="A35" s="83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92"/>
      <c r="R35" s="92"/>
      <c r="S35" s="92"/>
      <c r="T35" s="93"/>
      <c r="U35" s="93"/>
      <c r="V35" s="94">
        <f t="shared" si="0"/>
        <v>0</v>
      </c>
      <c r="W35" s="83"/>
      <c r="X35" s="83"/>
      <c r="Y35" s="45"/>
      <c r="Z35" s="5"/>
    </row>
    <row r="36" spans="1:26" ht="15" customHeight="1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92"/>
      <c r="R36" s="92"/>
      <c r="S36" s="92"/>
      <c r="T36" s="93"/>
      <c r="U36" s="93"/>
      <c r="V36" s="94">
        <f t="shared" si="0"/>
        <v>0</v>
      </c>
      <c r="W36" s="62"/>
      <c r="X36" s="62"/>
      <c r="Y36" s="45"/>
      <c r="Z36" s="5"/>
    </row>
    <row r="37" spans="1:26" ht="15" customHeight="1">
      <c r="A37" s="69"/>
      <c r="B37" s="70"/>
      <c r="C37" s="71"/>
      <c r="D37" s="72"/>
      <c r="E37" s="72"/>
      <c r="F37" s="72"/>
      <c r="G37" s="72"/>
      <c r="H37" s="72"/>
      <c r="I37" s="73"/>
      <c r="J37" s="74"/>
      <c r="K37" s="73"/>
      <c r="L37" s="75"/>
      <c r="M37" s="73"/>
      <c r="N37" s="73" t="str">
        <f>IF(M37&lt;=$A$394,"FINALIZADO","ACTIVO")</f>
        <v>FINALIZADO</v>
      </c>
      <c r="O37" s="74"/>
      <c r="P37" s="76">
        <f>O37*4/1000+O37</f>
        <v>0</v>
      </c>
      <c r="Q37" s="77"/>
      <c r="R37" s="77"/>
      <c r="S37" s="77"/>
      <c r="T37" s="79"/>
      <c r="U37" s="79"/>
      <c r="V37" s="80">
        <f t="shared" si="0"/>
        <v>0</v>
      </c>
      <c r="W37" s="81">
        <f>P37-V37-V38-V39-V40-V41</f>
        <v>0</v>
      </c>
      <c r="X37" s="82"/>
      <c r="Y37" s="45"/>
      <c r="Z37" s="5"/>
    </row>
    <row r="38" spans="1:26" ht="15" customHeight="1">
      <c r="A38" s="83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77"/>
      <c r="R38" s="77"/>
      <c r="S38" s="77"/>
      <c r="T38" s="79"/>
      <c r="U38" s="79"/>
      <c r="V38" s="80">
        <f t="shared" si="0"/>
        <v>0</v>
      </c>
      <c r="W38" s="83"/>
      <c r="X38" s="83"/>
      <c r="Y38" s="45"/>
      <c r="Z38" s="5"/>
    </row>
    <row r="39" spans="1:26" ht="15" customHeight="1">
      <c r="A39" s="83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77"/>
      <c r="R39" s="77"/>
      <c r="S39" s="77"/>
      <c r="T39" s="79"/>
      <c r="U39" s="79"/>
      <c r="V39" s="80">
        <f t="shared" si="0"/>
        <v>0</v>
      </c>
      <c r="W39" s="83"/>
      <c r="X39" s="83"/>
      <c r="Y39" s="45"/>
      <c r="Z39" s="5"/>
    </row>
    <row r="40" spans="1:26" ht="15" customHeight="1">
      <c r="A40" s="83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77"/>
      <c r="R40" s="77"/>
      <c r="S40" s="77"/>
      <c r="T40" s="79"/>
      <c r="U40" s="79"/>
      <c r="V40" s="80">
        <f t="shared" si="0"/>
        <v>0</v>
      </c>
      <c r="W40" s="83"/>
      <c r="X40" s="83"/>
      <c r="Y40" s="45"/>
      <c r="Z40" s="5"/>
    </row>
    <row r="41" spans="1:26" ht="15" customHeight="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77"/>
      <c r="R41" s="77"/>
      <c r="S41" s="77"/>
      <c r="T41" s="79"/>
      <c r="U41" s="79"/>
      <c r="V41" s="80">
        <f t="shared" si="0"/>
        <v>0</v>
      </c>
      <c r="W41" s="62"/>
      <c r="X41" s="62"/>
      <c r="Y41" s="45"/>
      <c r="Z41" s="5"/>
    </row>
    <row r="42" spans="1:26" ht="15" customHeight="1">
      <c r="A42" s="84"/>
      <c r="B42" s="85"/>
      <c r="C42" s="86"/>
      <c r="D42" s="87"/>
      <c r="E42" s="87"/>
      <c r="F42" s="87"/>
      <c r="G42" s="87"/>
      <c r="H42" s="87"/>
      <c r="I42" s="88"/>
      <c r="J42" s="89"/>
      <c r="K42" s="88"/>
      <c r="L42" s="90"/>
      <c r="M42" s="88"/>
      <c r="N42" s="88" t="str">
        <f>IF(M42&lt;=$A$394,"FINALIZADO","ACTIVO")</f>
        <v>FINALIZADO</v>
      </c>
      <c r="O42" s="89"/>
      <c r="P42" s="91">
        <f>O42*4/1000+O42</f>
        <v>0</v>
      </c>
      <c r="Q42" s="92"/>
      <c r="R42" s="92"/>
      <c r="S42" s="92"/>
      <c r="T42" s="93"/>
      <c r="U42" s="93"/>
      <c r="V42" s="94">
        <f t="shared" si="0"/>
        <v>0</v>
      </c>
      <c r="W42" s="95">
        <f>P42-V42-V43-V44-V45-V46</f>
        <v>0</v>
      </c>
      <c r="X42" s="96"/>
      <c r="Y42" s="45"/>
      <c r="Z42" s="5"/>
    </row>
    <row r="43" spans="1:26" ht="15" customHeight="1">
      <c r="A43" s="83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92"/>
      <c r="R43" s="92"/>
      <c r="S43" s="92"/>
      <c r="T43" s="93"/>
      <c r="U43" s="93"/>
      <c r="V43" s="94">
        <f t="shared" si="0"/>
        <v>0</v>
      </c>
      <c r="W43" s="83"/>
      <c r="X43" s="83"/>
      <c r="Y43" s="45"/>
      <c r="Z43" s="5"/>
    </row>
    <row r="44" spans="1:26" ht="15" customHeight="1">
      <c r="A44" s="83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92"/>
      <c r="R44" s="92"/>
      <c r="S44" s="92"/>
      <c r="T44" s="93"/>
      <c r="U44" s="93"/>
      <c r="V44" s="94">
        <f t="shared" si="0"/>
        <v>0</v>
      </c>
      <c r="W44" s="83"/>
      <c r="X44" s="83"/>
      <c r="Y44" s="45"/>
      <c r="Z44" s="5"/>
    </row>
    <row r="45" spans="1:26" ht="15" customHeight="1">
      <c r="A45" s="83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92"/>
      <c r="R45" s="92"/>
      <c r="S45" s="92"/>
      <c r="T45" s="93"/>
      <c r="U45" s="93"/>
      <c r="V45" s="94">
        <f t="shared" si="0"/>
        <v>0</v>
      </c>
      <c r="W45" s="83"/>
      <c r="X45" s="83"/>
      <c r="Y45" s="45"/>
      <c r="Z45" s="5"/>
    </row>
    <row r="46" spans="1:26" ht="15" customHeight="1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92"/>
      <c r="R46" s="92"/>
      <c r="S46" s="92"/>
      <c r="T46" s="93"/>
      <c r="U46" s="93"/>
      <c r="V46" s="94">
        <f t="shared" si="0"/>
        <v>0</v>
      </c>
      <c r="W46" s="62"/>
      <c r="X46" s="62"/>
      <c r="Y46" s="45"/>
      <c r="Z46" s="5"/>
    </row>
    <row r="47" spans="1:26" ht="15" customHeight="1">
      <c r="A47" s="69"/>
      <c r="B47" s="70"/>
      <c r="C47" s="71"/>
      <c r="D47" s="72"/>
      <c r="E47" s="72"/>
      <c r="F47" s="72"/>
      <c r="G47" s="72"/>
      <c r="H47" s="72"/>
      <c r="I47" s="73"/>
      <c r="J47" s="74"/>
      <c r="K47" s="73"/>
      <c r="L47" s="75"/>
      <c r="M47" s="73"/>
      <c r="N47" s="73" t="str">
        <f>IF(M47&lt;=$A$394,"FINALIZADO","ACTIVO")</f>
        <v>FINALIZADO</v>
      </c>
      <c r="O47" s="74"/>
      <c r="P47" s="76">
        <f>O47*4/1000+O47</f>
        <v>0</v>
      </c>
      <c r="Q47" s="77"/>
      <c r="R47" s="77"/>
      <c r="S47" s="77"/>
      <c r="T47" s="79"/>
      <c r="U47" s="79"/>
      <c r="V47" s="80">
        <f t="shared" si="0"/>
        <v>0</v>
      </c>
      <c r="W47" s="81">
        <f>P47-V47-V48-V49-V50-V51</f>
        <v>0</v>
      </c>
      <c r="X47" s="82"/>
      <c r="Y47" s="45"/>
      <c r="Z47" s="5"/>
    </row>
    <row r="48" spans="1:26" ht="15" customHeight="1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77"/>
      <c r="R48" s="77"/>
      <c r="S48" s="77"/>
      <c r="T48" s="79"/>
      <c r="U48" s="79"/>
      <c r="V48" s="80">
        <f t="shared" si="0"/>
        <v>0</v>
      </c>
      <c r="W48" s="83"/>
      <c r="X48" s="83"/>
      <c r="Y48" s="45"/>
      <c r="Z48" s="5"/>
    </row>
    <row r="49" spans="1:26" ht="15" customHeight="1">
      <c r="A49" s="83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77"/>
      <c r="R49" s="77"/>
      <c r="S49" s="77"/>
      <c r="T49" s="79"/>
      <c r="U49" s="79"/>
      <c r="V49" s="80">
        <f t="shared" si="0"/>
        <v>0</v>
      </c>
      <c r="W49" s="83"/>
      <c r="X49" s="83"/>
      <c r="Y49" s="45"/>
      <c r="Z49" s="5"/>
    </row>
    <row r="50" spans="1:26" ht="15" customHeight="1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77"/>
      <c r="R50" s="77"/>
      <c r="S50" s="77"/>
      <c r="T50" s="79"/>
      <c r="U50" s="79"/>
      <c r="V50" s="80">
        <f t="shared" si="0"/>
        <v>0</v>
      </c>
      <c r="W50" s="83"/>
      <c r="X50" s="83"/>
      <c r="Y50" s="45"/>
      <c r="Z50" s="5"/>
    </row>
    <row r="51" spans="1:26" ht="15" customHeight="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77"/>
      <c r="R51" s="77"/>
      <c r="S51" s="77"/>
      <c r="T51" s="79"/>
      <c r="U51" s="79"/>
      <c r="V51" s="80">
        <f t="shared" si="0"/>
        <v>0</v>
      </c>
      <c r="W51" s="62"/>
      <c r="X51" s="62"/>
      <c r="Y51" s="45"/>
      <c r="Z51" s="5"/>
    </row>
    <row r="52" spans="1:26" ht="9.75" customHeight="1">
      <c r="A52" s="97"/>
      <c r="B52" s="97"/>
      <c r="C52" s="98"/>
      <c r="D52" s="45"/>
      <c r="E52" s="45"/>
      <c r="F52" s="45"/>
      <c r="G52" s="45"/>
      <c r="H52" s="45"/>
      <c r="I52" s="97"/>
      <c r="J52" s="97"/>
      <c r="K52" s="97"/>
      <c r="L52" s="97"/>
      <c r="M52" s="97"/>
      <c r="N52" s="97"/>
      <c r="O52" s="45"/>
      <c r="P52" s="99"/>
      <c r="Q52" s="100"/>
      <c r="R52" s="97"/>
      <c r="S52" s="101"/>
      <c r="T52" s="101"/>
      <c r="U52" s="101"/>
      <c r="V52" s="101"/>
      <c r="W52" s="102"/>
      <c r="X52" s="45"/>
      <c r="Y52" s="45"/>
      <c r="Z52" s="5"/>
    </row>
    <row r="53" spans="1:26" ht="21.75" customHeight="1">
      <c r="A53" s="48" t="s">
        <v>31</v>
      </c>
      <c r="B53" s="48" t="s">
        <v>61</v>
      </c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49" t="s">
        <v>33</v>
      </c>
      <c r="P53" s="33"/>
      <c r="Q53" s="33"/>
      <c r="R53" s="33"/>
      <c r="S53" s="50"/>
      <c r="T53" s="33"/>
      <c r="U53" s="33"/>
      <c r="V53" s="33"/>
      <c r="W53" s="33"/>
      <c r="X53" s="33"/>
      <c r="Y53" s="47"/>
      <c r="Z53" s="5"/>
    </row>
    <row r="54" spans="1:26" ht="20.25" customHeight="1">
      <c r="A54" s="51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49" t="s">
        <v>34</v>
      </c>
      <c r="P54" s="33"/>
      <c r="Q54" s="33"/>
      <c r="R54" s="33"/>
      <c r="S54" s="50">
        <f>SUBTOTAL(109,P58:P82)</f>
        <v>0</v>
      </c>
      <c r="T54" s="33"/>
      <c r="U54" s="33"/>
      <c r="V54" s="33"/>
      <c r="W54" s="33"/>
      <c r="X54" s="33"/>
      <c r="Y54" s="47"/>
      <c r="Z54" s="5"/>
    </row>
    <row r="55" spans="1:26" ht="20.2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52" t="s">
        <v>35</v>
      </c>
      <c r="P55" s="51"/>
      <c r="Q55" s="51"/>
      <c r="R55" s="51"/>
      <c r="S55" s="50">
        <f>S53-S54</f>
        <v>0</v>
      </c>
      <c r="T55" s="33"/>
      <c r="U55" s="33"/>
      <c r="V55" s="33"/>
      <c r="W55" s="33"/>
      <c r="X55" s="33"/>
      <c r="Y55" s="4"/>
      <c r="Z55" s="5"/>
    </row>
    <row r="56" spans="1:26" ht="15.75" customHeight="1">
      <c r="A56" s="53" t="s">
        <v>36</v>
      </c>
      <c r="B56" s="53" t="s">
        <v>37</v>
      </c>
      <c r="C56" s="54" t="s">
        <v>6</v>
      </c>
      <c r="D56" s="103" t="s">
        <v>50</v>
      </c>
      <c r="E56" s="55" t="s">
        <v>38</v>
      </c>
      <c r="F56" s="2"/>
      <c r="G56" s="2"/>
      <c r="H56" s="3"/>
      <c r="I56" s="53" t="s">
        <v>62</v>
      </c>
      <c r="J56" s="53" t="s">
        <v>40</v>
      </c>
      <c r="K56" s="57" t="s">
        <v>41</v>
      </c>
      <c r="L56" s="58" t="s">
        <v>42</v>
      </c>
      <c r="M56" s="58" t="s">
        <v>43</v>
      </c>
      <c r="N56" s="53" t="s">
        <v>44</v>
      </c>
      <c r="O56" s="57" t="s">
        <v>63</v>
      </c>
      <c r="P56" s="57" t="s">
        <v>64</v>
      </c>
      <c r="Q56" s="59" t="s">
        <v>47</v>
      </c>
      <c r="R56" s="2"/>
      <c r="S56" s="2"/>
      <c r="T56" s="2"/>
      <c r="U56" s="2"/>
      <c r="V56" s="3"/>
      <c r="W56" s="60" t="s">
        <v>48</v>
      </c>
      <c r="X56" s="61" t="s">
        <v>49</v>
      </c>
      <c r="Y56" s="4"/>
      <c r="Z56" s="5"/>
    </row>
    <row r="57" spans="1:26" ht="15.75" customHeight="1">
      <c r="A57" s="62"/>
      <c r="B57" s="62"/>
      <c r="C57" s="62"/>
      <c r="D57" s="34"/>
      <c r="E57" s="64" t="s">
        <v>51</v>
      </c>
      <c r="F57" s="64" t="s">
        <v>52</v>
      </c>
      <c r="G57" s="64" t="s">
        <v>53</v>
      </c>
      <c r="H57" s="64" t="s">
        <v>65</v>
      </c>
      <c r="I57" s="62"/>
      <c r="J57" s="62"/>
      <c r="K57" s="62"/>
      <c r="L57" s="62"/>
      <c r="M57" s="62"/>
      <c r="N57" s="62"/>
      <c r="O57" s="62"/>
      <c r="P57" s="62"/>
      <c r="Q57" s="65" t="s">
        <v>55</v>
      </c>
      <c r="R57" s="66" t="s">
        <v>56</v>
      </c>
      <c r="S57" s="66" t="s">
        <v>57</v>
      </c>
      <c r="T57" s="66" t="s">
        <v>58</v>
      </c>
      <c r="U57" s="67" t="s">
        <v>59</v>
      </c>
      <c r="V57" s="68" t="s">
        <v>60</v>
      </c>
      <c r="W57" s="51"/>
      <c r="X57" s="51"/>
      <c r="Y57" s="4"/>
      <c r="Z57" s="5"/>
    </row>
    <row r="58" spans="1:26" ht="15" customHeight="1">
      <c r="A58" s="69"/>
      <c r="B58" s="70"/>
      <c r="C58" s="71"/>
      <c r="D58" s="72"/>
      <c r="E58" s="72"/>
      <c r="F58" s="72"/>
      <c r="G58" s="72"/>
      <c r="H58" s="72"/>
      <c r="I58" s="73"/>
      <c r="J58" s="74"/>
      <c r="K58" s="73"/>
      <c r="L58" s="75"/>
      <c r="M58" s="73"/>
      <c r="N58" s="73" t="str">
        <f>IF(M58&lt;=$A$394,"FINALIZADO","ACTIVO")</f>
        <v>FINALIZADO</v>
      </c>
      <c r="O58" s="74"/>
      <c r="P58" s="76">
        <f>O58*4/1000+O58</f>
        <v>0</v>
      </c>
      <c r="Q58" s="77"/>
      <c r="R58" s="77"/>
      <c r="S58" s="77"/>
      <c r="T58" s="79"/>
      <c r="U58" s="77"/>
      <c r="V58" s="80">
        <f t="shared" ref="V58:V82" si="1">U58*4/1000+U58</f>
        <v>0</v>
      </c>
      <c r="W58" s="81">
        <f>P58-V58-V59-V60-V61-V62</f>
        <v>0</v>
      </c>
      <c r="X58" s="82"/>
      <c r="Y58" s="45"/>
      <c r="Z58" s="5"/>
    </row>
    <row r="59" spans="1:26" ht="15" customHeight="1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77"/>
      <c r="R59" s="77"/>
      <c r="S59" s="77"/>
      <c r="T59" s="79"/>
      <c r="U59" s="79"/>
      <c r="V59" s="80">
        <f t="shared" si="1"/>
        <v>0</v>
      </c>
      <c r="W59" s="83"/>
      <c r="X59" s="83"/>
      <c r="Y59" s="45"/>
      <c r="Z59" s="5"/>
    </row>
    <row r="60" spans="1:26" ht="15" customHeight="1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77"/>
      <c r="R60" s="77"/>
      <c r="S60" s="77"/>
      <c r="T60" s="79"/>
      <c r="U60" s="79"/>
      <c r="V60" s="80">
        <f t="shared" si="1"/>
        <v>0</v>
      </c>
      <c r="W60" s="83"/>
      <c r="X60" s="83"/>
      <c r="Y60" s="45"/>
      <c r="Z60" s="5"/>
    </row>
    <row r="61" spans="1:26" ht="15" customHeight="1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77"/>
      <c r="R61" s="77"/>
      <c r="S61" s="77"/>
      <c r="T61" s="79"/>
      <c r="U61" s="79"/>
      <c r="V61" s="80">
        <f t="shared" si="1"/>
        <v>0</v>
      </c>
      <c r="W61" s="83"/>
      <c r="X61" s="83"/>
      <c r="Y61" s="45"/>
      <c r="Z61" s="5"/>
    </row>
    <row r="62" spans="1:26" ht="15" customHeight="1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77"/>
      <c r="R62" s="77"/>
      <c r="S62" s="77"/>
      <c r="T62" s="79"/>
      <c r="U62" s="79"/>
      <c r="V62" s="80">
        <f t="shared" si="1"/>
        <v>0</v>
      </c>
      <c r="W62" s="62"/>
      <c r="X62" s="62"/>
      <c r="Y62" s="45"/>
      <c r="Z62" s="5"/>
    </row>
    <row r="63" spans="1:26" ht="15" customHeight="1">
      <c r="A63" s="84"/>
      <c r="B63" s="85"/>
      <c r="C63" s="86"/>
      <c r="D63" s="87"/>
      <c r="E63" s="87"/>
      <c r="F63" s="87"/>
      <c r="G63" s="87"/>
      <c r="H63" s="87"/>
      <c r="I63" s="88"/>
      <c r="J63" s="89"/>
      <c r="K63" s="88"/>
      <c r="L63" s="90"/>
      <c r="M63" s="88"/>
      <c r="N63" s="88" t="str">
        <f>IF(M63&lt;=$A$394,"FINALIZADO","ACTIVO")</f>
        <v>FINALIZADO</v>
      </c>
      <c r="O63" s="89"/>
      <c r="P63" s="91">
        <f>O63*4/1000+O63</f>
        <v>0</v>
      </c>
      <c r="Q63" s="92"/>
      <c r="R63" s="92"/>
      <c r="S63" s="92"/>
      <c r="T63" s="93"/>
      <c r="U63" s="93"/>
      <c r="V63" s="94">
        <f t="shared" si="1"/>
        <v>0</v>
      </c>
      <c r="W63" s="95">
        <f>P63-V63-V64-V65-V66-V67</f>
        <v>0</v>
      </c>
      <c r="X63" s="96"/>
      <c r="Y63" s="45"/>
      <c r="Z63" s="5"/>
    </row>
    <row r="64" spans="1:26" ht="15" customHeight="1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92"/>
      <c r="R64" s="92"/>
      <c r="S64" s="92"/>
      <c r="T64" s="93"/>
      <c r="U64" s="93"/>
      <c r="V64" s="94">
        <f t="shared" si="1"/>
        <v>0</v>
      </c>
      <c r="W64" s="83"/>
      <c r="X64" s="83"/>
      <c r="Y64" s="45"/>
      <c r="Z64" s="5"/>
    </row>
    <row r="65" spans="1:26" ht="15" customHeight="1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92"/>
      <c r="R65" s="92"/>
      <c r="S65" s="92"/>
      <c r="T65" s="93"/>
      <c r="U65" s="93"/>
      <c r="V65" s="94">
        <f t="shared" si="1"/>
        <v>0</v>
      </c>
      <c r="W65" s="83"/>
      <c r="X65" s="83"/>
      <c r="Y65" s="45"/>
      <c r="Z65" s="5"/>
    </row>
    <row r="66" spans="1:26" ht="15" customHeight="1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92"/>
      <c r="R66" s="92"/>
      <c r="S66" s="92"/>
      <c r="T66" s="93"/>
      <c r="U66" s="93"/>
      <c r="V66" s="94">
        <f t="shared" si="1"/>
        <v>0</v>
      </c>
      <c r="W66" s="83"/>
      <c r="X66" s="83"/>
      <c r="Y66" s="45"/>
      <c r="Z66" s="5"/>
    </row>
    <row r="67" spans="1:26" ht="15" customHeight="1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92"/>
      <c r="R67" s="92"/>
      <c r="S67" s="92"/>
      <c r="T67" s="93"/>
      <c r="U67" s="93"/>
      <c r="V67" s="94">
        <f t="shared" si="1"/>
        <v>0</v>
      </c>
      <c r="W67" s="62"/>
      <c r="X67" s="62"/>
      <c r="Y67" s="45"/>
      <c r="Z67" s="5"/>
    </row>
    <row r="68" spans="1:26" ht="15" customHeight="1">
      <c r="A68" s="69"/>
      <c r="B68" s="70"/>
      <c r="C68" s="71"/>
      <c r="D68" s="72"/>
      <c r="E68" s="72"/>
      <c r="F68" s="72"/>
      <c r="G68" s="72"/>
      <c r="H68" s="72"/>
      <c r="I68" s="73"/>
      <c r="J68" s="74"/>
      <c r="K68" s="73"/>
      <c r="L68" s="75"/>
      <c r="M68" s="73"/>
      <c r="N68" s="73" t="str">
        <f>IF(M68&lt;=$A$394,"FINALIZADO","ACTIVO")</f>
        <v>FINALIZADO</v>
      </c>
      <c r="O68" s="74"/>
      <c r="P68" s="76">
        <f>O68*4/1000+O68</f>
        <v>0</v>
      </c>
      <c r="Q68" s="77"/>
      <c r="R68" s="77"/>
      <c r="S68" s="77"/>
      <c r="T68" s="79"/>
      <c r="U68" s="79"/>
      <c r="V68" s="80">
        <f t="shared" si="1"/>
        <v>0</v>
      </c>
      <c r="W68" s="81">
        <f>P68-V68-V69-V70-V71-V72</f>
        <v>0</v>
      </c>
      <c r="X68" s="82"/>
      <c r="Y68" s="45"/>
      <c r="Z68" s="5"/>
    </row>
    <row r="69" spans="1:26" ht="15" customHeight="1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77"/>
      <c r="R69" s="77"/>
      <c r="S69" s="77"/>
      <c r="T69" s="79"/>
      <c r="U69" s="79"/>
      <c r="V69" s="80">
        <f t="shared" si="1"/>
        <v>0</v>
      </c>
      <c r="W69" s="83"/>
      <c r="X69" s="83"/>
      <c r="Y69" s="45"/>
      <c r="Z69" s="5"/>
    </row>
    <row r="70" spans="1:26" ht="15" customHeight="1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77"/>
      <c r="R70" s="77"/>
      <c r="S70" s="77"/>
      <c r="T70" s="79"/>
      <c r="U70" s="79"/>
      <c r="V70" s="80">
        <f t="shared" si="1"/>
        <v>0</v>
      </c>
      <c r="W70" s="83"/>
      <c r="X70" s="83"/>
      <c r="Y70" s="45"/>
      <c r="Z70" s="5"/>
    </row>
    <row r="71" spans="1:26" ht="15" customHeight="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77"/>
      <c r="R71" s="77"/>
      <c r="S71" s="77"/>
      <c r="T71" s="79"/>
      <c r="U71" s="79"/>
      <c r="V71" s="80">
        <f t="shared" si="1"/>
        <v>0</v>
      </c>
      <c r="W71" s="83"/>
      <c r="X71" s="83"/>
      <c r="Y71" s="45"/>
      <c r="Z71" s="5"/>
    </row>
    <row r="72" spans="1:26" ht="15" customHeight="1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77"/>
      <c r="R72" s="77"/>
      <c r="S72" s="77"/>
      <c r="T72" s="79"/>
      <c r="U72" s="79"/>
      <c r="V72" s="80">
        <f t="shared" si="1"/>
        <v>0</v>
      </c>
      <c r="W72" s="62"/>
      <c r="X72" s="62"/>
      <c r="Y72" s="45"/>
      <c r="Z72" s="5"/>
    </row>
    <row r="73" spans="1:26" ht="15" customHeight="1">
      <c r="A73" s="84"/>
      <c r="B73" s="85"/>
      <c r="C73" s="86"/>
      <c r="D73" s="87"/>
      <c r="E73" s="87"/>
      <c r="F73" s="87"/>
      <c r="G73" s="87"/>
      <c r="H73" s="87"/>
      <c r="I73" s="88"/>
      <c r="J73" s="89"/>
      <c r="K73" s="88"/>
      <c r="L73" s="90"/>
      <c r="M73" s="88"/>
      <c r="N73" s="88" t="str">
        <f>IF(M73&lt;=$A$394,"FINALIZADO","ACTIVO")</f>
        <v>FINALIZADO</v>
      </c>
      <c r="O73" s="89"/>
      <c r="P73" s="91">
        <f>O73*4/1000+O73</f>
        <v>0</v>
      </c>
      <c r="Q73" s="92"/>
      <c r="R73" s="92"/>
      <c r="S73" s="92"/>
      <c r="T73" s="93"/>
      <c r="U73" s="93"/>
      <c r="V73" s="94">
        <f t="shared" si="1"/>
        <v>0</v>
      </c>
      <c r="W73" s="95">
        <f>P73-V73-V74-V75-V76-V77</f>
        <v>0</v>
      </c>
      <c r="X73" s="96"/>
      <c r="Y73" s="45"/>
      <c r="Z73" s="5"/>
    </row>
    <row r="74" spans="1:26" ht="15" customHeight="1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92"/>
      <c r="R74" s="92"/>
      <c r="S74" s="92"/>
      <c r="T74" s="93"/>
      <c r="U74" s="93"/>
      <c r="V74" s="94">
        <f t="shared" si="1"/>
        <v>0</v>
      </c>
      <c r="W74" s="83"/>
      <c r="X74" s="83"/>
      <c r="Y74" s="45"/>
      <c r="Z74" s="5"/>
    </row>
    <row r="75" spans="1:26" ht="15" customHeight="1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92"/>
      <c r="R75" s="92"/>
      <c r="S75" s="92"/>
      <c r="T75" s="93"/>
      <c r="U75" s="93"/>
      <c r="V75" s="94">
        <f t="shared" si="1"/>
        <v>0</v>
      </c>
      <c r="W75" s="83"/>
      <c r="X75" s="83"/>
      <c r="Y75" s="45"/>
      <c r="Z75" s="5"/>
    </row>
    <row r="76" spans="1:26" ht="15" customHeight="1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92"/>
      <c r="R76" s="92"/>
      <c r="S76" s="92"/>
      <c r="T76" s="93"/>
      <c r="U76" s="93"/>
      <c r="V76" s="94">
        <f t="shared" si="1"/>
        <v>0</v>
      </c>
      <c r="W76" s="83"/>
      <c r="X76" s="83"/>
      <c r="Y76" s="45"/>
      <c r="Z76" s="5"/>
    </row>
    <row r="77" spans="1:26" ht="15" customHeight="1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92"/>
      <c r="R77" s="92"/>
      <c r="S77" s="92"/>
      <c r="T77" s="93"/>
      <c r="U77" s="93"/>
      <c r="V77" s="94">
        <f t="shared" si="1"/>
        <v>0</v>
      </c>
      <c r="W77" s="62"/>
      <c r="X77" s="62"/>
      <c r="Y77" s="45"/>
      <c r="Z77" s="5"/>
    </row>
    <row r="78" spans="1:26" ht="15" customHeight="1">
      <c r="A78" s="69"/>
      <c r="B78" s="70"/>
      <c r="C78" s="71"/>
      <c r="D78" s="72"/>
      <c r="E78" s="72"/>
      <c r="F78" s="72"/>
      <c r="G78" s="72"/>
      <c r="H78" s="72"/>
      <c r="I78" s="73"/>
      <c r="J78" s="74"/>
      <c r="K78" s="73"/>
      <c r="L78" s="75"/>
      <c r="M78" s="73"/>
      <c r="N78" s="73" t="str">
        <f>IF(M78&lt;=$A$394,"FINALIZADO","ACTIVO")</f>
        <v>FINALIZADO</v>
      </c>
      <c r="O78" s="74"/>
      <c r="P78" s="76">
        <f>O78*4/1000+O78</f>
        <v>0</v>
      </c>
      <c r="Q78" s="77"/>
      <c r="R78" s="77"/>
      <c r="S78" s="77"/>
      <c r="T78" s="79"/>
      <c r="U78" s="79"/>
      <c r="V78" s="80">
        <f t="shared" si="1"/>
        <v>0</v>
      </c>
      <c r="W78" s="81">
        <f>P78-V78-V79-V80-V81-V82</f>
        <v>0</v>
      </c>
      <c r="X78" s="82"/>
      <c r="Y78" s="45"/>
      <c r="Z78" s="5"/>
    </row>
    <row r="79" spans="1:26" ht="15" customHeight="1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77"/>
      <c r="R79" s="77"/>
      <c r="S79" s="77"/>
      <c r="T79" s="79"/>
      <c r="U79" s="79"/>
      <c r="V79" s="80">
        <f t="shared" si="1"/>
        <v>0</v>
      </c>
      <c r="W79" s="83"/>
      <c r="X79" s="83"/>
      <c r="Y79" s="45"/>
      <c r="Z79" s="5"/>
    </row>
    <row r="80" spans="1:26" ht="15" customHeight="1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77"/>
      <c r="R80" s="77"/>
      <c r="S80" s="77"/>
      <c r="T80" s="79"/>
      <c r="U80" s="79"/>
      <c r="V80" s="80">
        <f t="shared" si="1"/>
        <v>0</v>
      </c>
      <c r="W80" s="83"/>
      <c r="X80" s="83"/>
      <c r="Y80" s="45"/>
      <c r="Z80" s="5"/>
    </row>
    <row r="81" spans="1:26" ht="15" customHeight="1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77"/>
      <c r="R81" s="77"/>
      <c r="S81" s="77"/>
      <c r="T81" s="79"/>
      <c r="U81" s="79"/>
      <c r="V81" s="80">
        <f t="shared" si="1"/>
        <v>0</v>
      </c>
      <c r="W81" s="83"/>
      <c r="X81" s="83"/>
      <c r="Y81" s="45"/>
      <c r="Z81" s="5"/>
    </row>
    <row r="82" spans="1:26" ht="15" customHeight="1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77"/>
      <c r="R82" s="77"/>
      <c r="S82" s="77"/>
      <c r="T82" s="79"/>
      <c r="U82" s="79"/>
      <c r="V82" s="80">
        <f t="shared" si="1"/>
        <v>0</v>
      </c>
      <c r="W82" s="62"/>
      <c r="X82" s="62"/>
      <c r="Y82" s="45"/>
      <c r="Z82" s="5"/>
    </row>
    <row r="83" spans="1:26" ht="9.75" customHeight="1">
      <c r="A83" s="97"/>
      <c r="B83" s="97"/>
      <c r="C83" s="98"/>
      <c r="D83" s="45"/>
      <c r="E83" s="45"/>
      <c r="F83" s="45"/>
      <c r="G83" s="45"/>
      <c r="H83" s="45"/>
      <c r="I83" s="97"/>
      <c r="J83" s="97"/>
      <c r="K83" s="97"/>
      <c r="L83" s="97"/>
      <c r="M83" s="97"/>
      <c r="N83" s="97"/>
      <c r="O83" s="45"/>
      <c r="P83" s="99"/>
      <c r="Q83" s="100"/>
      <c r="R83" s="97"/>
      <c r="S83" s="101"/>
      <c r="T83" s="101"/>
      <c r="U83" s="101"/>
      <c r="V83" s="101"/>
      <c r="W83" s="102"/>
      <c r="X83" s="45"/>
      <c r="Y83" s="45"/>
      <c r="Z83" s="5"/>
    </row>
    <row r="84" spans="1:26" ht="21.75" customHeight="1">
      <c r="A84" s="48" t="s">
        <v>31</v>
      </c>
      <c r="B84" s="48" t="s">
        <v>66</v>
      </c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49" t="s">
        <v>33</v>
      </c>
      <c r="P84" s="33"/>
      <c r="Q84" s="33"/>
      <c r="R84" s="33"/>
      <c r="S84" s="50"/>
      <c r="T84" s="33"/>
      <c r="U84" s="33"/>
      <c r="V84" s="33"/>
      <c r="W84" s="33"/>
      <c r="X84" s="33"/>
      <c r="Y84" s="47"/>
      <c r="Z84" s="5"/>
    </row>
    <row r="85" spans="1:26" ht="20.25" customHeight="1">
      <c r="A85" s="51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49" t="s">
        <v>34</v>
      </c>
      <c r="P85" s="33"/>
      <c r="Q85" s="33"/>
      <c r="R85" s="33"/>
      <c r="S85" s="50">
        <f>SUBTOTAL(109,P89:P113)</f>
        <v>0</v>
      </c>
      <c r="T85" s="33"/>
      <c r="U85" s="33"/>
      <c r="V85" s="33"/>
      <c r="W85" s="33"/>
      <c r="X85" s="33"/>
      <c r="Y85" s="47"/>
      <c r="Z85" s="5"/>
    </row>
    <row r="86" spans="1:26" ht="20.2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52" t="s">
        <v>35</v>
      </c>
      <c r="P86" s="51"/>
      <c r="Q86" s="51"/>
      <c r="R86" s="51"/>
      <c r="S86" s="50">
        <f>S84-S85</f>
        <v>0</v>
      </c>
      <c r="T86" s="33"/>
      <c r="U86" s="33"/>
      <c r="V86" s="33"/>
      <c r="W86" s="33"/>
      <c r="X86" s="33"/>
      <c r="Y86" s="4"/>
      <c r="Z86" s="5"/>
    </row>
    <row r="87" spans="1:26" ht="15.75" customHeight="1">
      <c r="A87" s="53" t="s">
        <v>36</v>
      </c>
      <c r="B87" s="53" t="s">
        <v>37</v>
      </c>
      <c r="C87" s="54" t="s">
        <v>6</v>
      </c>
      <c r="D87" s="103" t="s">
        <v>50</v>
      </c>
      <c r="E87" s="55" t="s">
        <v>38</v>
      </c>
      <c r="F87" s="2"/>
      <c r="G87" s="2"/>
      <c r="H87" s="3"/>
      <c r="I87" s="53" t="s">
        <v>62</v>
      </c>
      <c r="J87" s="53" t="s">
        <v>40</v>
      </c>
      <c r="K87" s="57" t="s">
        <v>41</v>
      </c>
      <c r="L87" s="58" t="s">
        <v>42</v>
      </c>
      <c r="M87" s="58" t="s">
        <v>43</v>
      </c>
      <c r="N87" s="53" t="s">
        <v>44</v>
      </c>
      <c r="O87" s="57" t="s">
        <v>63</v>
      </c>
      <c r="P87" s="57" t="s">
        <v>64</v>
      </c>
      <c r="Q87" s="59" t="s">
        <v>67</v>
      </c>
      <c r="R87" s="2"/>
      <c r="S87" s="2"/>
      <c r="T87" s="2"/>
      <c r="U87" s="2"/>
      <c r="V87" s="3"/>
      <c r="W87" s="60" t="s">
        <v>48</v>
      </c>
      <c r="X87" s="61" t="s">
        <v>49</v>
      </c>
      <c r="Y87" s="4"/>
      <c r="Z87" s="5"/>
    </row>
    <row r="88" spans="1:26" ht="15.75" customHeight="1">
      <c r="A88" s="62"/>
      <c r="B88" s="62"/>
      <c r="C88" s="62"/>
      <c r="D88" s="34"/>
      <c r="E88" s="64" t="s">
        <v>51</v>
      </c>
      <c r="F88" s="64" t="s">
        <v>52</v>
      </c>
      <c r="G88" s="64" t="s">
        <v>53</v>
      </c>
      <c r="H88" s="64" t="s">
        <v>65</v>
      </c>
      <c r="I88" s="62"/>
      <c r="J88" s="62"/>
      <c r="K88" s="62"/>
      <c r="L88" s="62"/>
      <c r="M88" s="62"/>
      <c r="N88" s="62"/>
      <c r="O88" s="62"/>
      <c r="P88" s="62"/>
      <c r="Q88" s="65" t="s">
        <v>55</v>
      </c>
      <c r="R88" s="66" t="s">
        <v>56</v>
      </c>
      <c r="S88" s="66" t="s">
        <v>57</v>
      </c>
      <c r="T88" s="66" t="s">
        <v>58</v>
      </c>
      <c r="U88" s="67" t="s">
        <v>59</v>
      </c>
      <c r="V88" s="68" t="s">
        <v>60</v>
      </c>
      <c r="W88" s="51"/>
      <c r="X88" s="51"/>
      <c r="Y88" s="4"/>
      <c r="Z88" s="5"/>
    </row>
    <row r="89" spans="1:26" ht="15" customHeight="1">
      <c r="A89" s="69"/>
      <c r="B89" s="70"/>
      <c r="C89" s="71"/>
      <c r="D89" s="72"/>
      <c r="E89" s="72"/>
      <c r="F89" s="72"/>
      <c r="G89" s="72"/>
      <c r="H89" s="72"/>
      <c r="I89" s="73"/>
      <c r="J89" s="74"/>
      <c r="K89" s="73"/>
      <c r="L89" s="75"/>
      <c r="M89" s="73"/>
      <c r="N89" s="73" t="str">
        <f>IF(M89&lt;=$A$394,"FINALIZADO","ACTIVO")</f>
        <v>FINALIZADO</v>
      </c>
      <c r="O89" s="74"/>
      <c r="P89" s="76">
        <f>O89*4/1000+O89</f>
        <v>0</v>
      </c>
      <c r="Q89" s="77"/>
      <c r="R89" s="77"/>
      <c r="S89" s="77"/>
      <c r="T89" s="79"/>
      <c r="U89" s="79"/>
      <c r="V89" s="80">
        <f t="shared" ref="V89:V113" si="2">U89*4/1000+U89</f>
        <v>0</v>
      </c>
      <c r="W89" s="81">
        <f>P89-V89-V90-V91-V92-V93</f>
        <v>0</v>
      </c>
      <c r="X89" s="82"/>
      <c r="Y89" s="45"/>
      <c r="Z89" s="5"/>
    </row>
    <row r="90" spans="1:26" ht="15" customHeight="1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77"/>
      <c r="R90" s="77"/>
      <c r="S90" s="77"/>
      <c r="T90" s="79"/>
      <c r="U90" s="79"/>
      <c r="V90" s="80">
        <f t="shared" si="2"/>
        <v>0</v>
      </c>
      <c r="W90" s="83"/>
      <c r="X90" s="83"/>
      <c r="Y90" s="45"/>
      <c r="Z90" s="5"/>
    </row>
    <row r="91" spans="1:26" ht="15" customHeight="1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77"/>
      <c r="R91" s="77"/>
      <c r="S91" s="77"/>
      <c r="T91" s="79"/>
      <c r="U91" s="79"/>
      <c r="V91" s="80">
        <f t="shared" si="2"/>
        <v>0</v>
      </c>
      <c r="W91" s="83"/>
      <c r="X91" s="83"/>
      <c r="Y91" s="45"/>
      <c r="Z91" s="5"/>
    </row>
    <row r="92" spans="1:26" ht="15" customHeight="1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77"/>
      <c r="R92" s="77"/>
      <c r="S92" s="77"/>
      <c r="T92" s="79"/>
      <c r="U92" s="79"/>
      <c r="V92" s="80">
        <f t="shared" si="2"/>
        <v>0</v>
      </c>
      <c r="W92" s="83"/>
      <c r="X92" s="83"/>
      <c r="Y92" s="45"/>
      <c r="Z92" s="5"/>
    </row>
    <row r="93" spans="1:26" ht="15" customHeight="1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77"/>
      <c r="R93" s="77"/>
      <c r="S93" s="77"/>
      <c r="T93" s="79"/>
      <c r="U93" s="79"/>
      <c r="V93" s="80">
        <f t="shared" si="2"/>
        <v>0</v>
      </c>
      <c r="W93" s="62"/>
      <c r="X93" s="62"/>
      <c r="Y93" s="45"/>
      <c r="Z93" s="5"/>
    </row>
    <row r="94" spans="1:26" ht="15" customHeight="1">
      <c r="A94" s="84"/>
      <c r="B94" s="85"/>
      <c r="C94" s="86"/>
      <c r="D94" s="87"/>
      <c r="E94" s="87"/>
      <c r="F94" s="87"/>
      <c r="G94" s="87"/>
      <c r="H94" s="87"/>
      <c r="I94" s="88"/>
      <c r="J94" s="89"/>
      <c r="K94" s="88"/>
      <c r="L94" s="90"/>
      <c r="M94" s="88"/>
      <c r="N94" s="88" t="str">
        <f>IF(M94&lt;=$A$394,"FINALIZADO","ACTIVO")</f>
        <v>FINALIZADO</v>
      </c>
      <c r="O94" s="89"/>
      <c r="P94" s="91">
        <f>O94*4/1000+O94</f>
        <v>0</v>
      </c>
      <c r="Q94" s="92"/>
      <c r="R94" s="92"/>
      <c r="S94" s="92"/>
      <c r="T94" s="93"/>
      <c r="U94" s="93"/>
      <c r="V94" s="94">
        <f t="shared" si="2"/>
        <v>0</v>
      </c>
      <c r="W94" s="95">
        <f>P94-V94-V95-V96-V97-V98</f>
        <v>0</v>
      </c>
      <c r="X94" s="96"/>
      <c r="Y94" s="45"/>
      <c r="Z94" s="5"/>
    </row>
    <row r="95" spans="1:26" ht="15" customHeight="1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92"/>
      <c r="R95" s="92"/>
      <c r="S95" s="92"/>
      <c r="T95" s="93"/>
      <c r="U95" s="93"/>
      <c r="V95" s="94">
        <f t="shared" si="2"/>
        <v>0</v>
      </c>
      <c r="W95" s="83"/>
      <c r="X95" s="83"/>
      <c r="Y95" s="45"/>
      <c r="Z95" s="5"/>
    </row>
    <row r="96" spans="1:26" ht="15" customHeight="1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92"/>
      <c r="R96" s="92"/>
      <c r="S96" s="92"/>
      <c r="T96" s="93"/>
      <c r="U96" s="93"/>
      <c r="V96" s="94">
        <f t="shared" si="2"/>
        <v>0</v>
      </c>
      <c r="W96" s="83"/>
      <c r="X96" s="83"/>
      <c r="Y96" s="45"/>
      <c r="Z96" s="5"/>
    </row>
    <row r="97" spans="1:26" ht="15" customHeight="1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92"/>
      <c r="R97" s="92"/>
      <c r="S97" s="92"/>
      <c r="T97" s="93"/>
      <c r="U97" s="93"/>
      <c r="V97" s="94">
        <f t="shared" si="2"/>
        <v>0</v>
      </c>
      <c r="W97" s="83"/>
      <c r="X97" s="83"/>
      <c r="Y97" s="45"/>
      <c r="Z97" s="5"/>
    </row>
    <row r="98" spans="1:26" ht="15" customHeight="1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92"/>
      <c r="R98" s="92"/>
      <c r="S98" s="92"/>
      <c r="T98" s="93"/>
      <c r="U98" s="93"/>
      <c r="V98" s="94">
        <f t="shared" si="2"/>
        <v>0</v>
      </c>
      <c r="W98" s="62"/>
      <c r="X98" s="62"/>
      <c r="Y98" s="45"/>
      <c r="Z98" s="5"/>
    </row>
    <row r="99" spans="1:26" ht="15" customHeight="1">
      <c r="A99" s="69"/>
      <c r="B99" s="70"/>
      <c r="C99" s="71"/>
      <c r="D99" s="72"/>
      <c r="E99" s="72"/>
      <c r="F99" s="72"/>
      <c r="G99" s="72"/>
      <c r="H99" s="72"/>
      <c r="I99" s="73"/>
      <c r="J99" s="74"/>
      <c r="K99" s="73"/>
      <c r="L99" s="75"/>
      <c r="M99" s="73"/>
      <c r="N99" s="73" t="str">
        <f>IF(M99&lt;=$A$394,"FINALIZADO","ACTIVO")</f>
        <v>FINALIZADO</v>
      </c>
      <c r="O99" s="74"/>
      <c r="P99" s="76">
        <f>O99*4/1000+O99</f>
        <v>0</v>
      </c>
      <c r="Q99" s="77"/>
      <c r="R99" s="77"/>
      <c r="S99" s="77"/>
      <c r="T99" s="79"/>
      <c r="U99" s="79"/>
      <c r="V99" s="80">
        <f t="shared" si="2"/>
        <v>0</v>
      </c>
      <c r="W99" s="81">
        <f>P99-V99-V100-V101-V102-V103</f>
        <v>0</v>
      </c>
      <c r="X99" s="82"/>
      <c r="Y99" s="45"/>
      <c r="Z99" s="5"/>
    </row>
    <row r="100" spans="1:26" ht="15" customHeight="1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77"/>
      <c r="R100" s="77"/>
      <c r="S100" s="77"/>
      <c r="T100" s="79"/>
      <c r="U100" s="79"/>
      <c r="V100" s="80">
        <f t="shared" si="2"/>
        <v>0</v>
      </c>
      <c r="W100" s="83"/>
      <c r="X100" s="83"/>
      <c r="Y100" s="45"/>
      <c r="Z100" s="5"/>
    </row>
    <row r="101" spans="1:26" ht="15" customHeight="1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77"/>
      <c r="R101" s="77"/>
      <c r="S101" s="77"/>
      <c r="T101" s="79"/>
      <c r="U101" s="79"/>
      <c r="V101" s="80">
        <f t="shared" si="2"/>
        <v>0</v>
      </c>
      <c r="W101" s="83"/>
      <c r="X101" s="83"/>
      <c r="Y101" s="45"/>
      <c r="Z101" s="5"/>
    </row>
    <row r="102" spans="1:26" ht="15" customHeight="1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77"/>
      <c r="R102" s="77"/>
      <c r="S102" s="77"/>
      <c r="T102" s="79"/>
      <c r="U102" s="79"/>
      <c r="V102" s="80">
        <f t="shared" si="2"/>
        <v>0</v>
      </c>
      <c r="W102" s="83"/>
      <c r="X102" s="83"/>
      <c r="Y102" s="45"/>
      <c r="Z102" s="5"/>
    </row>
    <row r="103" spans="1:26" ht="15" customHeight="1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77"/>
      <c r="R103" s="77"/>
      <c r="S103" s="77"/>
      <c r="T103" s="79"/>
      <c r="U103" s="79"/>
      <c r="V103" s="80">
        <f t="shared" si="2"/>
        <v>0</v>
      </c>
      <c r="W103" s="62"/>
      <c r="X103" s="62"/>
      <c r="Y103" s="45"/>
      <c r="Z103" s="5"/>
    </row>
    <row r="104" spans="1:26" ht="15" customHeight="1">
      <c r="A104" s="84"/>
      <c r="B104" s="85"/>
      <c r="C104" s="86"/>
      <c r="D104" s="87"/>
      <c r="E104" s="87"/>
      <c r="F104" s="87"/>
      <c r="G104" s="87"/>
      <c r="H104" s="87"/>
      <c r="I104" s="88"/>
      <c r="J104" s="89"/>
      <c r="K104" s="88"/>
      <c r="L104" s="90"/>
      <c r="M104" s="88"/>
      <c r="N104" s="88" t="str">
        <f>IF(M104&lt;=$A$394,"FINALIZADO","ACTIVO")</f>
        <v>FINALIZADO</v>
      </c>
      <c r="O104" s="89"/>
      <c r="P104" s="91">
        <f>O104*4/1000+O104</f>
        <v>0</v>
      </c>
      <c r="Q104" s="92"/>
      <c r="R104" s="92"/>
      <c r="S104" s="92"/>
      <c r="T104" s="93"/>
      <c r="U104" s="93"/>
      <c r="V104" s="94">
        <f t="shared" si="2"/>
        <v>0</v>
      </c>
      <c r="W104" s="95">
        <f>P104-V104-V105-V106-V107-V108</f>
        <v>0</v>
      </c>
      <c r="X104" s="96"/>
      <c r="Y104" s="45"/>
      <c r="Z104" s="5"/>
    </row>
    <row r="105" spans="1:26" ht="15" customHeight="1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92"/>
      <c r="R105" s="92"/>
      <c r="S105" s="92"/>
      <c r="T105" s="93"/>
      <c r="U105" s="93"/>
      <c r="V105" s="94">
        <f t="shared" si="2"/>
        <v>0</v>
      </c>
      <c r="W105" s="83"/>
      <c r="X105" s="83"/>
      <c r="Y105" s="45"/>
      <c r="Z105" s="5"/>
    </row>
    <row r="106" spans="1:26" ht="15" customHeight="1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92"/>
      <c r="R106" s="92"/>
      <c r="S106" s="92"/>
      <c r="T106" s="93"/>
      <c r="U106" s="93"/>
      <c r="V106" s="94">
        <f t="shared" si="2"/>
        <v>0</v>
      </c>
      <c r="W106" s="83"/>
      <c r="X106" s="83"/>
      <c r="Y106" s="45"/>
      <c r="Z106" s="5"/>
    </row>
    <row r="107" spans="1:26" ht="15" customHeight="1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92"/>
      <c r="R107" s="92"/>
      <c r="S107" s="92"/>
      <c r="T107" s="93"/>
      <c r="U107" s="93"/>
      <c r="V107" s="94">
        <f t="shared" si="2"/>
        <v>0</v>
      </c>
      <c r="W107" s="83"/>
      <c r="X107" s="83"/>
      <c r="Y107" s="45"/>
      <c r="Z107" s="5"/>
    </row>
    <row r="108" spans="1:26" ht="15" customHeight="1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92"/>
      <c r="R108" s="92"/>
      <c r="S108" s="92"/>
      <c r="T108" s="93"/>
      <c r="U108" s="93"/>
      <c r="V108" s="94">
        <f t="shared" si="2"/>
        <v>0</v>
      </c>
      <c r="W108" s="62"/>
      <c r="X108" s="62"/>
      <c r="Y108" s="45"/>
      <c r="Z108" s="5"/>
    </row>
    <row r="109" spans="1:26" ht="15" customHeight="1">
      <c r="A109" s="69"/>
      <c r="B109" s="70"/>
      <c r="C109" s="71"/>
      <c r="D109" s="72"/>
      <c r="E109" s="72"/>
      <c r="F109" s="72"/>
      <c r="G109" s="72"/>
      <c r="H109" s="72"/>
      <c r="I109" s="73"/>
      <c r="J109" s="74"/>
      <c r="K109" s="73"/>
      <c r="L109" s="75"/>
      <c r="M109" s="73"/>
      <c r="N109" s="73" t="str">
        <f>IF(M109&lt;=$A$394,"FINALIZADO","ACTIVO")</f>
        <v>FINALIZADO</v>
      </c>
      <c r="O109" s="74"/>
      <c r="P109" s="76">
        <f>O109*4/1000+O109</f>
        <v>0</v>
      </c>
      <c r="Q109" s="77"/>
      <c r="R109" s="77"/>
      <c r="S109" s="77"/>
      <c r="T109" s="79"/>
      <c r="U109" s="79"/>
      <c r="V109" s="80">
        <f t="shared" si="2"/>
        <v>0</v>
      </c>
      <c r="W109" s="81">
        <f>P109-V109-V110-V111-V112-V113</f>
        <v>0</v>
      </c>
      <c r="X109" s="82"/>
      <c r="Y109" s="45"/>
      <c r="Z109" s="5"/>
    </row>
    <row r="110" spans="1:26" ht="15" customHeight="1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77"/>
      <c r="R110" s="77"/>
      <c r="S110" s="77"/>
      <c r="T110" s="79"/>
      <c r="U110" s="79"/>
      <c r="V110" s="80">
        <f t="shared" si="2"/>
        <v>0</v>
      </c>
      <c r="W110" s="83"/>
      <c r="X110" s="83"/>
      <c r="Y110" s="45"/>
      <c r="Z110" s="5"/>
    </row>
    <row r="111" spans="1:26" ht="15" customHeight="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77"/>
      <c r="R111" s="77"/>
      <c r="S111" s="77"/>
      <c r="T111" s="79"/>
      <c r="U111" s="79"/>
      <c r="V111" s="80">
        <f t="shared" si="2"/>
        <v>0</v>
      </c>
      <c r="W111" s="83"/>
      <c r="X111" s="83"/>
      <c r="Y111" s="45"/>
      <c r="Z111" s="5"/>
    </row>
    <row r="112" spans="1:26" ht="15" customHeight="1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77"/>
      <c r="R112" s="77"/>
      <c r="S112" s="77"/>
      <c r="T112" s="79"/>
      <c r="U112" s="79"/>
      <c r="V112" s="80">
        <f t="shared" si="2"/>
        <v>0</v>
      </c>
      <c r="W112" s="83"/>
      <c r="X112" s="83"/>
      <c r="Y112" s="45"/>
      <c r="Z112" s="5"/>
    </row>
    <row r="113" spans="1:26" ht="12.75" customHeight="1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77"/>
      <c r="R113" s="77"/>
      <c r="S113" s="77"/>
      <c r="T113" s="79"/>
      <c r="U113" s="79"/>
      <c r="V113" s="80">
        <f t="shared" si="2"/>
        <v>0</v>
      </c>
      <c r="W113" s="62"/>
      <c r="X113" s="62"/>
      <c r="Y113" s="45"/>
      <c r="Z113" s="5"/>
    </row>
    <row r="114" spans="1:26" ht="9.75" customHeight="1">
      <c r="A114" s="97"/>
      <c r="B114" s="97"/>
      <c r="C114" s="98"/>
      <c r="D114" s="45"/>
      <c r="E114" s="45"/>
      <c r="F114" s="45"/>
      <c r="G114" s="45"/>
      <c r="H114" s="45"/>
      <c r="I114" s="97"/>
      <c r="J114" s="97"/>
      <c r="K114" s="97"/>
      <c r="L114" s="97"/>
      <c r="M114" s="97"/>
      <c r="N114" s="97"/>
      <c r="O114" s="45"/>
      <c r="P114" s="99"/>
      <c r="Q114" s="100"/>
      <c r="R114" s="97"/>
      <c r="S114" s="101"/>
      <c r="T114" s="101"/>
      <c r="U114" s="101"/>
      <c r="V114" s="101"/>
      <c r="W114" s="102"/>
      <c r="X114" s="45"/>
      <c r="Y114" s="45"/>
      <c r="Z114" s="5"/>
    </row>
    <row r="115" spans="1:26" ht="30.75" customHeight="1">
      <c r="A115" s="104" t="s">
        <v>68</v>
      </c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47"/>
      <c r="Z115" s="5"/>
    </row>
    <row r="116" spans="1:26" ht="21.75" customHeight="1">
      <c r="A116" s="105" t="s">
        <v>31</v>
      </c>
      <c r="B116" s="106" t="s">
        <v>69</v>
      </c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107" t="s">
        <v>33</v>
      </c>
      <c r="P116" s="33"/>
      <c r="Q116" s="33"/>
      <c r="R116" s="33"/>
      <c r="S116" s="50"/>
      <c r="T116" s="33"/>
      <c r="U116" s="33"/>
      <c r="V116" s="33"/>
      <c r="W116" s="33"/>
      <c r="X116" s="33"/>
      <c r="Y116" s="47"/>
      <c r="Z116" s="5"/>
    </row>
    <row r="117" spans="1:26" ht="20.25" customHeight="1">
      <c r="A117" s="51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107" t="s">
        <v>34</v>
      </c>
      <c r="P117" s="33"/>
      <c r="Q117" s="33"/>
      <c r="R117" s="33"/>
      <c r="S117" s="50">
        <f>SUBTOTAL(109,P121:P126)</f>
        <v>0</v>
      </c>
      <c r="T117" s="33"/>
      <c r="U117" s="33"/>
      <c r="V117" s="33"/>
      <c r="W117" s="33"/>
      <c r="X117" s="33"/>
      <c r="Y117" s="47"/>
      <c r="Z117" s="5"/>
    </row>
    <row r="118" spans="1:26" ht="20.2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108" t="s">
        <v>35</v>
      </c>
      <c r="P118" s="51"/>
      <c r="Q118" s="51"/>
      <c r="R118" s="51"/>
      <c r="S118" s="50">
        <f>S116-S117</f>
        <v>0</v>
      </c>
      <c r="T118" s="33"/>
      <c r="U118" s="33"/>
      <c r="V118" s="33"/>
      <c r="W118" s="33"/>
      <c r="X118" s="33"/>
      <c r="Y118" s="4"/>
      <c r="Z118" s="5"/>
    </row>
    <row r="119" spans="1:26" ht="15.75" customHeight="1">
      <c r="A119" s="109" t="s">
        <v>36</v>
      </c>
      <c r="B119" s="109" t="s">
        <v>37</v>
      </c>
      <c r="C119" s="110" t="s">
        <v>6</v>
      </c>
      <c r="D119" s="111" t="s">
        <v>50</v>
      </c>
      <c r="E119" s="112" t="s">
        <v>38</v>
      </c>
      <c r="F119" s="2"/>
      <c r="G119" s="2"/>
      <c r="H119" s="3"/>
      <c r="I119" s="109" t="s">
        <v>62</v>
      </c>
      <c r="J119" s="109" t="s">
        <v>40</v>
      </c>
      <c r="K119" s="113" t="s">
        <v>41</v>
      </c>
      <c r="L119" s="114" t="s">
        <v>42</v>
      </c>
      <c r="M119" s="114" t="s">
        <v>43</v>
      </c>
      <c r="N119" s="109" t="s">
        <v>44</v>
      </c>
      <c r="O119" s="113" t="s">
        <v>63</v>
      </c>
      <c r="P119" s="113" t="s">
        <v>64</v>
      </c>
      <c r="Q119" s="115" t="s">
        <v>67</v>
      </c>
      <c r="R119" s="2"/>
      <c r="S119" s="2"/>
      <c r="T119" s="2"/>
      <c r="U119" s="2"/>
      <c r="V119" s="3"/>
      <c r="W119" s="116" t="s">
        <v>48</v>
      </c>
      <c r="X119" s="117" t="s">
        <v>49</v>
      </c>
      <c r="Y119" s="4"/>
      <c r="Z119" s="5"/>
    </row>
    <row r="120" spans="1:26" ht="15.75" customHeight="1">
      <c r="A120" s="62"/>
      <c r="B120" s="62"/>
      <c r="C120" s="62"/>
      <c r="D120" s="34"/>
      <c r="E120" s="118" t="s">
        <v>51</v>
      </c>
      <c r="F120" s="118" t="s">
        <v>52</v>
      </c>
      <c r="G120" s="118" t="s">
        <v>53</v>
      </c>
      <c r="H120" s="118" t="s">
        <v>65</v>
      </c>
      <c r="I120" s="62"/>
      <c r="J120" s="62"/>
      <c r="K120" s="62"/>
      <c r="L120" s="62"/>
      <c r="M120" s="62"/>
      <c r="N120" s="62"/>
      <c r="O120" s="62"/>
      <c r="P120" s="62"/>
      <c r="Q120" s="119" t="s">
        <v>55</v>
      </c>
      <c r="R120" s="120" t="s">
        <v>56</v>
      </c>
      <c r="S120" s="120" t="s">
        <v>57</v>
      </c>
      <c r="T120" s="120" t="s">
        <v>58</v>
      </c>
      <c r="U120" s="121" t="s">
        <v>59</v>
      </c>
      <c r="V120" s="122" t="s">
        <v>60</v>
      </c>
      <c r="W120" s="51"/>
      <c r="X120" s="51"/>
      <c r="Y120" s="4"/>
      <c r="Z120" s="5"/>
    </row>
    <row r="121" spans="1:26" ht="15" customHeight="1">
      <c r="A121" s="69"/>
      <c r="B121" s="70"/>
      <c r="C121" s="71"/>
      <c r="D121" s="72"/>
      <c r="E121" s="72"/>
      <c r="F121" s="72"/>
      <c r="G121" s="72"/>
      <c r="H121" s="72"/>
      <c r="I121" s="73"/>
      <c r="J121" s="74"/>
      <c r="K121" s="73"/>
      <c r="L121" s="75"/>
      <c r="M121" s="73"/>
      <c r="N121" s="73" t="str">
        <f>IF(M121&lt;=$A$394,"FINALIZADO","ACTIVO")</f>
        <v>FINALIZADO</v>
      </c>
      <c r="O121" s="74"/>
      <c r="P121" s="76">
        <f>O121*4/1000+O121</f>
        <v>0</v>
      </c>
      <c r="Q121" s="77"/>
      <c r="R121" s="77"/>
      <c r="S121" s="77"/>
      <c r="T121" s="79"/>
      <c r="U121" s="79"/>
      <c r="V121" s="80">
        <f t="shared" ref="V121:V126" si="3">U121*4/1000+U121</f>
        <v>0</v>
      </c>
      <c r="W121" s="81">
        <f>P121-V121-V122-V123</f>
        <v>0</v>
      </c>
      <c r="X121" s="82"/>
      <c r="Y121" s="45"/>
      <c r="Z121" s="5"/>
    </row>
    <row r="122" spans="1:26" ht="15" customHeight="1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77"/>
      <c r="R122" s="77"/>
      <c r="S122" s="77"/>
      <c r="T122" s="79"/>
      <c r="U122" s="79"/>
      <c r="V122" s="80">
        <f t="shared" si="3"/>
        <v>0</v>
      </c>
      <c r="W122" s="83"/>
      <c r="X122" s="83"/>
      <c r="Y122" s="45"/>
      <c r="Z122" s="5"/>
    </row>
    <row r="123" spans="1:26" ht="15" customHeight="1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77"/>
      <c r="R123" s="77"/>
      <c r="S123" s="77"/>
      <c r="T123" s="79"/>
      <c r="U123" s="79"/>
      <c r="V123" s="80">
        <f t="shared" si="3"/>
        <v>0</v>
      </c>
      <c r="W123" s="83"/>
      <c r="X123" s="83"/>
      <c r="Y123" s="45"/>
      <c r="Z123" s="5"/>
    </row>
    <row r="124" spans="1:26" ht="15" customHeight="1">
      <c r="A124" s="84"/>
      <c r="B124" s="85"/>
      <c r="C124" s="86"/>
      <c r="D124" s="87"/>
      <c r="E124" s="87"/>
      <c r="F124" s="87"/>
      <c r="G124" s="87"/>
      <c r="H124" s="87"/>
      <c r="I124" s="88"/>
      <c r="J124" s="89"/>
      <c r="K124" s="88"/>
      <c r="L124" s="90"/>
      <c r="M124" s="88"/>
      <c r="N124" s="88" t="str">
        <f>IF(M124&lt;=$A$394,"FINALIZADO","ACTIVO")</f>
        <v>FINALIZADO</v>
      </c>
      <c r="O124" s="89"/>
      <c r="P124" s="91">
        <f>O124*4/1000+O124</f>
        <v>0</v>
      </c>
      <c r="Q124" s="92"/>
      <c r="R124" s="92"/>
      <c r="S124" s="92"/>
      <c r="T124" s="93"/>
      <c r="U124" s="93"/>
      <c r="V124" s="94">
        <f t="shared" si="3"/>
        <v>0</v>
      </c>
      <c r="W124" s="95">
        <f>P124-V124-V125-V126</f>
        <v>0</v>
      </c>
      <c r="X124" s="96"/>
      <c r="Y124" s="45"/>
      <c r="Z124" s="5"/>
    </row>
    <row r="125" spans="1:26" ht="15" customHeight="1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92"/>
      <c r="R125" s="92"/>
      <c r="S125" s="92"/>
      <c r="T125" s="93"/>
      <c r="U125" s="93"/>
      <c r="V125" s="94">
        <f t="shared" si="3"/>
        <v>0</v>
      </c>
      <c r="W125" s="83"/>
      <c r="X125" s="83"/>
      <c r="Y125" s="45"/>
      <c r="Z125" s="5"/>
    </row>
    <row r="126" spans="1:26" ht="15" customHeight="1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92"/>
      <c r="R126" s="92"/>
      <c r="S126" s="92"/>
      <c r="T126" s="93"/>
      <c r="U126" s="93"/>
      <c r="V126" s="94">
        <f t="shared" si="3"/>
        <v>0</v>
      </c>
      <c r="W126" s="83"/>
      <c r="X126" s="83"/>
      <c r="Y126" s="45"/>
      <c r="Z126" s="5"/>
    </row>
    <row r="127" spans="1:26" ht="9.75" customHeight="1">
      <c r="A127" s="97"/>
      <c r="B127" s="97"/>
      <c r="C127" s="98"/>
      <c r="D127" s="45"/>
      <c r="E127" s="45"/>
      <c r="F127" s="45"/>
      <c r="G127" s="45"/>
      <c r="H127" s="45"/>
      <c r="I127" s="97"/>
      <c r="J127" s="97"/>
      <c r="K127" s="97"/>
      <c r="L127" s="97"/>
      <c r="M127" s="97"/>
      <c r="N127" s="97"/>
      <c r="O127" s="45"/>
      <c r="P127" s="99"/>
      <c r="Q127" s="100"/>
      <c r="R127" s="97"/>
      <c r="S127" s="101"/>
      <c r="T127" s="101"/>
      <c r="U127" s="101"/>
      <c r="V127" s="101"/>
      <c r="W127" s="102"/>
      <c r="X127" s="45"/>
      <c r="Y127" s="45"/>
      <c r="Z127" s="5"/>
    </row>
    <row r="128" spans="1:26" ht="21.75" customHeight="1">
      <c r="A128" s="105" t="s">
        <v>31</v>
      </c>
      <c r="B128" s="106" t="s">
        <v>70</v>
      </c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107" t="s">
        <v>33</v>
      </c>
      <c r="P128" s="33"/>
      <c r="Q128" s="33"/>
      <c r="R128" s="33"/>
      <c r="S128" s="50"/>
      <c r="T128" s="33"/>
      <c r="U128" s="33"/>
      <c r="V128" s="33"/>
      <c r="W128" s="33"/>
      <c r="X128" s="33"/>
      <c r="Y128" s="47"/>
      <c r="Z128" s="5"/>
    </row>
    <row r="129" spans="1:26" ht="20.25" customHeight="1">
      <c r="A129" s="51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107" t="s">
        <v>34</v>
      </c>
      <c r="P129" s="33"/>
      <c r="Q129" s="33"/>
      <c r="R129" s="33"/>
      <c r="S129" s="50">
        <f>SUBTOTAL(109,P133:P138)</f>
        <v>0</v>
      </c>
      <c r="T129" s="33"/>
      <c r="U129" s="33"/>
      <c r="V129" s="33"/>
      <c r="W129" s="33"/>
      <c r="X129" s="33"/>
      <c r="Y129" s="47"/>
      <c r="Z129" s="5"/>
    </row>
    <row r="130" spans="1:26" ht="20.2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108" t="s">
        <v>35</v>
      </c>
      <c r="P130" s="51"/>
      <c r="Q130" s="51"/>
      <c r="R130" s="51"/>
      <c r="S130" s="50">
        <f>S128-S129</f>
        <v>0</v>
      </c>
      <c r="T130" s="33"/>
      <c r="U130" s="33"/>
      <c r="V130" s="33"/>
      <c r="W130" s="33"/>
      <c r="X130" s="33"/>
      <c r="Y130" s="4"/>
      <c r="Z130" s="5"/>
    </row>
    <row r="131" spans="1:26" ht="15.75" customHeight="1">
      <c r="A131" s="109" t="s">
        <v>36</v>
      </c>
      <c r="B131" s="109" t="s">
        <v>37</v>
      </c>
      <c r="C131" s="110" t="s">
        <v>6</v>
      </c>
      <c r="D131" s="111" t="s">
        <v>50</v>
      </c>
      <c r="E131" s="112" t="s">
        <v>38</v>
      </c>
      <c r="F131" s="2"/>
      <c r="G131" s="2"/>
      <c r="H131" s="3"/>
      <c r="I131" s="109" t="s">
        <v>62</v>
      </c>
      <c r="J131" s="109" t="s">
        <v>40</v>
      </c>
      <c r="K131" s="113" t="s">
        <v>41</v>
      </c>
      <c r="L131" s="114" t="s">
        <v>42</v>
      </c>
      <c r="M131" s="114" t="s">
        <v>43</v>
      </c>
      <c r="N131" s="109" t="s">
        <v>44</v>
      </c>
      <c r="O131" s="113" t="s">
        <v>63</v>
      </c>
      <c r="P131" s="113" t="s">
        <v>64</v>
      </c>
      <c r="Q131" s="115" t="s">
        <v>67</v>
      </c>
      <c r="R131" s="2"/>
      <c r="S131" s="2"/>
      <c r="T131" s="2"/>
      <c r="U131" s="2"/>
      <c r="V131" s="3"/>
      <c r="W131" s="116" t="s">
        <v>48</v>
      </c>
      <c r="X131" s="117" t="s">
        <v>49</v>
      </c>
      <c r="Y131" s="4"/>
      <c r="Z131" s="5"/>
    </row>
    <row r="132" spans="1:26" ht="15.75" customHeight="1">
      <c r="A132" s="62"/>
      <c r="B132" s="62"/>
      <c r="C132" s="62"/>
      <c r="D132" s="34"/>
      <c r="E132" s="118" t="s">
        <v>51</v>
      </c>
      <c r="F132" s="118" t="s">
        <v>52</v>
      </c>
      <c r="G132" s="118" t="s">
        <v>53</v>
      </c>
      <c r="H132" s="118" t="s">
        <v>65</v>
      </c>
      <c r="I132" s="62"/>
      <c r="J132" s="62"/>
      <c r="K132" s="62"/>
      <c r="L132" s="62"/>
      <c r="M132" s="62"/>
      <c r="N132" s="62"/>
      <c r="O132" s="62"/>
      <c r="P132" s="62"/>
      <c r="Q132" s="119" t="s">
        <v>55</v>
      </c>
      <c r="R132" s="120" t="s">
        <v>56</v>
      </c>
      <c r="S132" s="120" t="s">
        <v>57</v>
      </c>
      <c r="T132" s="120" t="s">
        <v>58</v>
      </c>
      <c r="U132" s="121" t="s">
        <v>59</v>
      </c>
      <c r="V132" s="122" t="s">
        <v>60</v>
      </c>
      <c r="W132" s="51"/>
      <c r="X132" s="51"/>
      <c r="Y132" s="4"/>
      <c r="Z132" s="5"/>
    </row>
    <row r="133" spans="1:26" ht="15" customHeight="1">
      <c r="A133" s="69"/>
      <c r="B133" s="70"/>
      <c r="C133" s="71"/>
      <c r="D133" s="72"/>
      <c r="E133" s="72"/>
      <c r="F133" s="72"/>
      <c r="G133" s="72"/>
      <c r="H133" s="72"/>
      <c r="I133" s="73"/>
      <c r="J133" s="74"/>
      <c r="K133" s="73"/>
      <c r="L133" s="75"/>
      <c r="M133" s="73"/>
      <c r="N133" s="73" t="str">
        <f>IF(M133&lt;=$A$394,"FINALIZADO","ACTIVO")</f>
        <v>FINALIZADO</v>
      </c>
      <c r="O133" s="74"/>
      <c r="P133" s="76">
        <f>O133*4/1000+O133</f>
        <v>0</v>
      </c>
      <c r="Q133" s="77"/>
      <c r="R133" s="77"/>
      <c r="S133" s="77"/>
      <c r="T133" s="79"/>
      <c r="U133" s="79"/>
      <c r="V133" s="80">
        <f t="shared" ref="V133:V138" si="4">U133*4/1000+U133</f>
        <v>0</v>
      </c>
      <c r="W133" s="81">
        <f>P133-V133-V134-V135</f>
        <v>0</v>
      </c>
      <c r="X133" s="82"/>
      <c r="Y133" s="45"/>
      <c r="Z133" s="5"/>
    </row>
    <row r="134" spans="1:26" ht="15" customHeight="1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77"/>
      <c r="R134" s="77"/>
      <c r="S134" s="77"/>
      <c r="T134" s="79"/>
      <c r="U134" s="79"/>
      <c r="V134" s="80">
        <f t="shared" si="4"/>
        <v>0</v>
      </c>
      <c r="W134" s="83"/>
      <c r="X134" s="83"/>
      <c r="Y134" s="45"/>
      <c r="Z134" s="5"/>
    </row>
    <row r="135" spans="1:26" ht="15" customHeight="1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77"/>
      <c r="R135" s="77"/>
      <c r="S135" s="77"/>
      <c r="T135" s="79"/>
      <c r="U135" s="79"/>
      <c r="V135" s="80">
        <f t="shared" si="4"/>
        <v>0</v>
      </c>
      <c r="W135" s="83"/>
      <c r="X135" s="83"/>
      <c r="Y135" s="45"/>
      <c r="Z135" s="5"/>
    </row>
    <row r="136" spans="1:26" ht="15" customHeight="1">
      <c r="A136" s="84"/>
      <c r="B136" s="85"/>
      <c r="C136" s="86"/>
      <c r="D136" s="87"/>
      <c r="E136" s="87"/>
      <c r="F136" s="87"/>
      <c r="G136" s="87"/>
      <c r="H136" s="87"/>
      <c r="I136" s="88"/>
      <c r="J136" s="89"/>
      <c r="K136" s="88"/>
      <c r="L136" s="90"/>
      <c r="M136" s="88"/>
      <c r="N136" s="88" t="str">
        <f>IF(M136&lt;=$A$394,"FINALIZADO","ACTIVO")</f>
        <v>FINALIZADO</v>
      </c>
      <c r="O136" s="89"/>
      <c r="P136" s="91">
        <f>O136*4/1000+O136</f>
        <v>0</v>
      </c>
      <c r="Q136" s="92"/>
      <c r="R136" s="92"/>
      <c r="S136" s="92"/>
      <c r="T136" s="93"/>
      <c r="U136" s="93"/>
      <c r="V136" s="94">
        <f t="shared" si="4"/>
        <v>0</v>
      </c>
      <c r="W136" s="95">
        <f>P136-V136-V137-V138</f>
        <v>0</v>
      </c>
      <c r="X136" s="96"/>
      <c r="Y136" s="45"/>
      <c r="Z136" s="5"/>
    </row>
    <row r="137" spans="1:26" ht="15" customHeight="1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92"/>
      <c r="R137" s="92"/>
      <c r="S137" s="92"/>
      <c r="T137" s="93"/>
      <c r="U137" s="93"/>
      <c r="V137" s="94">
        <f t="shared" si="4"/>
        <v>0</v>
      </c>
      <c r="W137" s="83"/>
      <c r="X137" s="83"/>
      <c r="Y137" s="45"/>
      <c r="Z137" s="5"/>
    </row>
    <row r="138" spans="1:26" ht="15" customHeight="1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92"/>
      <c r="R138" s="92"/>
      <c r="S138" s="92"/>
      <c r="T138" s="93"/>
      <c r="U138" s="93"/>
      <c r="V138" s="94">
        <f t="shared" si="4"/>
        <v>0</v>
      </c>
      <c r="W138" s="83"/>
      <c r="X138" s="83"/>
      <c r="Y138" s="45"/>
      <c r="Z138" s="5"/>
    </row>
    <row r="139" spans="1:26" ht="9.75" customHeight="1">
      <c r="A139" s="97"/>
      <c r="B139" s="97"/>
      <c r="C139" s="98"/>
      <c r="D139" s="45"/>
      <c r="E139" s="45"/>
      <c r="F139" s="45"/>
      <c r="G139" s="45"/>
      <c r="H139" s="45"/>
      <c r="I139" s="97"/>
      <c r="J139" s="97"/>
      <c r="K139" s="97"/>
      <c r="L139" s="97"/>
      <c r="M139" s="97"/>
      <c r="N139" s="97"/>
      <c r="O139" s="45"/>
      <c r="P139" s="99"/>
      <c r="Q139" s="100"/>
      <c r="R139" s="97"/>
      <c r="S139" s="101"/>
      <c r="T139" s="101"/>
      <c r="U139" s="101"/>
      <c r="V139" s="101"/>
      <c r="W139" s="102"/>
      <c r="X139" s="45"/>
      <c r="Y139" s="45"/>
      <c r="Z139" s="5"/>
    </row>
    <row r="140" spans="1:26" ht="21.75" customHeight="1">
      <c r="A140" s="105" t="s">
        <v>31</v>
      </c>
      <c r="B140" s="106" t="s">
        <v>71</v>
      </c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107" t="s">
        <v>33</v>
      </c>
      <c r="P140" s="33"/>
      <c r="Q140" s="33"/>
      <c r="R140" s="33"/>
      <c r="S140" s="50"/>
      <c r="T140" s="33"/>
      <c r="U140" s="33"/>
      <c r="V140" s="33"/>
      <c r="W140" s="33"/>
      <c r="X140" s="33"/>
      <c r="Y140" s="47"/>
      <c r="Z140" s="5"/>
    </row>
    <row r="141" spans="1:26" ht="20.25" customHeight="1">
      <c r="A141" s="51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107" t="s">
        <v>34</v>
      </c>
      <c r="P141" s="33"/>
      <c r="Q141" s="33"/>
      <c r="R141" s="33"/>
      <c r="S141" s="50">
        <f>SUBTOTAL(109,P145:P150)</f>
        <v>0</v>
      </c>
      <c r="T141" s="33"/>
      <c r="U141" s="33"/>
      <c r="V141" s="33"/>
      <c r="W141" s="33"/>
      <c r="X141" s="33"/>
      <c r="Y141" s="47"/>
      <c r="Z141" s="5"/>
    </row>
    <row r="142" spans="1:26" ht="20.2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108" t="s">
        <v>35</v>
      </c>
      <c r="P142" s="51"/>
      <c r="Q142" s="51"/>
      <c r="R142" s="51"/>
      <c r="S142" s="50">
        <f>S140-S141</f>
        <v>0</v>
      </c>
      <c r="T142" s="33"/>
      <c r="U142" s="33"/>
      <c r="V142" s="33"/>
      <c r="W142" s="33"/>
      <c r="X142" s="33"/>
      <c r="Y142" s="4"/>
      <c r="Z142" s="5"/>
    </row>
    <row r="143" spans="1:26" ht="15.75" customHeight="1">
      <c r="A143" s="109" t="s">
        <v>36</v>
      </c>
      <c r="B143" s="109" t="s">
        <v>37</v>
      </c>
      <c r="C143" s="110" t="s">
        <v>6</v>
      </c>
      <c r="D143" s="111" t="s">
        <v>50</v>
      </c>
      <c r="E143" s="112" t="s">
        <v>38</v>
      </c>
      <c r="F143" s="2"/>
      <c r="G143" s="2"/>
      <c r="H143" s="3"/>
      <c r="I143" s="109" t="s">
        <v>62</v>
      </c>
      <c r="J143" s="109" t="s">
        <v>40</v>
      </c>
      <c r="K143" s="113" t="s">
        <v>41</v>
      </c>
      <c r="L143" s="114" t="s">
        <v>42</v>
      </c>
      <c r="M143" s="114" t="s">
        <v>43</v>
      </c>
      <c r="N143" s="109" t="s">
        <v>44</v>
      </c>
      <c r="O143" s="113" t="s">
        <v>63</v>
      </c>
      <c r="P143" s="113" t="s">
        <v>64</v>
      </c>
      <c r="Q143" s="115" t="s">
        <v>67</v>
      </c>
      <c r="R143" s="2"/>
      <c r="S143" s="2"/>
      <c r="T143" s="2"/>
      <c r="U143" s="2"/>
      <c r="V143" s="3"/>
      <c r="W143" s="116" t="s">
        <v>48</v>
      </c>
      <c r="X143" s="117" t="s">
        <v>49</v>
      </c>
      <c r="Y143" s="4"/>
      <c r="Z143" s="5"/>
    </row>
    <row r="144" spans="1:26" ht="15.75" customHeight="1">
      <c r="A144" s="62"/>
      <c r="B144" s="62"/>
      <c r="C144" s="62"/>
      <c r="D144" s="34"/>
      <c r="E144" s="118" t="s">
        <v>51</v>
      </c>
      <c r="F144" s="118" t="s">
        <v>52</v>
      </c>
      <c r="G144" s="118" t="s">
        <v>53</v>
      </c>
      <c r="H144" s="118" t="s">
        <v>65</v>
      </c>
      <c r="I144" s="62"/>
      <c r="J144" s="62"/>
      <c r="K144" s="62"/>
      <c r="L144" s="62"/>
      <c r="M144" s="62"/>
      <c r="N144" s="62"/>
      <c r="O144" s="62"/>
      <c r="P144" s="62"/>
      <c r="Q144" s="119" t="s">
        <v>55</v>
      </c>
      <c r="R144" s="120" t="s">
        <v>56</v>
      </c>
      <c r="S144" s="120" t="s">
        <v>57</v>
      </c>
      <c r="T144" s="120" t="s">
        <v>58</v>
      </c>
      <c r="U144" s="121" t="s">
        <v>59</v>
      </c>
      <c r="V144" s="122" t="s">
        <v>60</v>
      </c>
      <c r="W144" s="51"/>
      <c r="X144" s="51"/>
      <c r="Y144" s="4"/>
      <c r="Z144" s="5"/>
    </row>
    <row r="145" spans="1:26" ht="15" customHeight="1">
      <c r="A145" s="69"/>
      <c r="B145" s="70"/>
      <c r="C145" s="71"/>
      <c r="D145" s="72"/>
      <c r="E145" s="72"/>
      <c r="F145" s="72"/>
      <c r="G145" s="72"/>
      <c r="H145" s="72"/>
      <c r="I145" s="73"/>
      <c r="J145" s="74"/>
      <c r="K145" s="73"/>
      <c r="L145" s="75"/>
      <c r="M145" s="73"/>
      <c r="N145" s="73" t="str">
        <f>IF(M145&lt;=$A$394,"FINALIZADO","ACTIVO")</f>
        <v>FINALIZADO</v>
      </c>
      <c r="O145" s="74"/>
      <c r="P145" s="76">
        <f>O145*4/1000+O145</f>
        <v>0</v>
      </c>
      <c r="Q145" s="77"/>
      <c r="R145" s="77"/>
      <c r="S145" s="77"/>
      <c r="T145" s="79"/>
      <c r="U145" s="79"/>
      <c r="V145" s="80">
        <f t="shared" ref="V145:V150" si="5">U145*4/1000+U145</f>
        <v>0</v>
      </c>
      <c r="W145" s="81">
        <f>P145-V145-V146-V147</f>
        <v>0</v>
      </c>
      <c r="X145" s="82"/>
      <c r="Y145" s="45"/>
      <c r="Z145" s="5"/>
    </row>
    <row r="146" spans="1:26" ht="15" customHeight="1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77"/>
      <c r="R146" s="77"/>
      <c r="S146" s="77"/>
      <c r="T146" s="79"/>
      <c r="U146" s="79"/>
      <c r="V146" s="80">
        <f t="shared" si="5"/>
        <v>0</v>
      </c>
      <c r="W146" s="83"/>
      <c r="X146" s="83"/>
      <c r="Y146" s="45"/>
      <c r="Z146" s="5"/>
    </row>
    <row r="147" spans="1:26" ht="15" customHeight="1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77"/>
      <c r="R147" s="77"/>
      <c r="S147" s="77"/>
      <c r="T147" s="79"/>
      <c r="U147" s="79"/>
      <c r="V147" s="80">
        <f t="shared" si="5"/>
        <v>0</v>
      </c>
      <c r="W147" s="83"/>
      <c r="X147" s="83"/>
      <c r="Y147" s="45"/>
      <c r="Z147" s="5"/>
    </row>
    <row r="148" spans="1:26" ht="15" customHeight="1">
      <c r="A148" s="84"/>
      <c r="B148" s="85"/>
      <c r="C148" s="86"/>
      <c r="D148" s="87"/>
      <c r="E148" s="87"/>
      <c r="F148" s="87"/>
      <c r="G148" s="87"/>
      <c r="H148" s="87"/>
      <c r="I148" s="88"/>
      <c r="J148" s="89"/>
      <c r="K148" s="88"/>
      <c r="L148" s="90"/>
      <c r="M148" s="88"/>
      <c r="N148" s="88" t="str">
        <f>IF(M148&lt;=$A$394,"FINALIZADO","ACTIVO")</f>
        <v>FINALIZADO</v>
      </c>
      <c r="O148" s="89"/>
      <c r="P148" s="91">
        <f>O148*4/1000+O148</f>
        <v>0</v>
      </c>
      <c r="Q148" s="92"/>
      <c r="R148" s="92"/>
      <c r="S148" s="92"/>
      <c r="T148" s="93"/>
      <c r="U148" s="93"/>
      <c r="V148" s="94">
        <f t="shared" si="5"/>
        <v>0</v>
      </c>
      <c r="W148" s="95">
        <f>P148-V148-V149-V150</f>
        <v>0</v>
      </c>
      <c r="X148" s="96"/>
      <c r="Y148" s="45"/>
      <c r="Z148" s="5"/>
    </row>
    <row r="149" spans="1:26" ht="15" customHeight="1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92"/>
      <c r="R149" s="92"/>
      <c r="S149" s="92"/>
      <c r="T149" s="93"/>
      <c r="U149" s="93"/>
      <c r="V149" s="94">
        <f t="shared" si="5"/>
        <v>0</v>
      </c>
      <c r="W149" s="83"/>
      <c r="X149" s="83"/>
      <c r="Y149" s="45"/>
      <c r="Z149" s="5"/>
    </row>
    <row r="150" spans="1:26" ht="15" customHeight="1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92"/>
      <c r="R150" s="92"/>
      <c r="S150" s="92"/>
      <c r="T150" s="93"/>
      <c r="U150" s="93"/>
      <c r="V150" s="94">
        <f t="shared" si="5"/>
        <v>0</v>
      </c>
      <c r="W150" s="83"/>
      <c r="X150" s="83"/>
      <c r="Y150" s="45"/>
      <c r="Z150" s="5"/>
    </row>
    <row r="151" spans="1:26" ht="9.75" customHeight="1">
      <c r="A151" s="97"/>
      <c r="B151" s="97"/>
      <c r="C151" s="98"/>
      <c r="D151" s="45"/>
      <c r="E151" s="45"/>
      <c r="F151" s="45"/>
      <c r="G151" s="45"/>
      <c r="H151" s="45"/>
      <c r="I151" s="97"/>
      <c r="J151" s="97"/>
      <c r="K151" s="97"/>
      <c r="L151" s="97"/>
      <c r="M151" s="97"/>
      <c r="N151" s="97"/>
      <c r="O151" s="45"/>
      <c r="P151" s="99"/>
      <c r="Q151" s="100"/>
      <c r="R151" s="97"/>
      <c r="S151" s="101"/>
      <c r="T151" s="101"/>
      <c r="U151" s="101"/>
      <c r="V151" s="101"/>
      <c r="W151" s="102"/>
      <c r="X151" s="45"/>
      <c r="Y151" s="45"/>
      <c r="Z151" s="5"/>
    </row>
    <row r="152" spans="1:26" ht="21.75" customHeight="1">
      <c r="A152" s="105" t="s">
        <v>31</v>
      </c>
      <c r="B152" s="106" t="s">
        <v>72</v>
      </c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107" t="s">
        <v>33</v>
      </c>
      <c r="P152" s="33"/>
      <c r="Q152" s="33"/>
      <c r="R152" s="33"/>
      <c r="S152" s="50"/>
      <c r="T152" s="33"/>
      <c r="U152" s="33"/>
      <c r="V152" s="33"/>
      <c r="W152" s="33"/>
      <c r="X152" s="33"/>
      <c r="Y152" s="47"/>
      <c r="Z152" s="5"/>
    </row>
    <row r="153" spans="1:26" ht="20.25" customHeight="1">
      <c r="A153" s="51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107" t="s">
        <v>34</v>
      </c>
      <c r="P153" s="33"/>
      <c r="Q153" s="33"/>
      <c r="R153" s="33"/>
      <c r="S153" s="50">
        <f>SUBTOTAL(109,P157:P162)</f>
        <v>0</v>
      </c>
      <c r="T153" s="33"/>
      <c r="U153" s="33"/>
      <c r="V153" s="33"/>
      <c r="W153" s="33"/>
      <c r="X153" s="33"/>
      <c r="Y153" s="47"/>
      <c r="Z153" s="5"/>
    </row>
    <row r="154" spans="1:26" ht="20.2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108" t="s">
        <v>35</v>
      </c>
      <c r="P154" s="51"/>
      <c r="Q154" s="51"/>
      <c r="R154" s="51"/>
      <c r="S154" s="50">
        <f>S152-S153</f>
        <v>0</v>
      </c>
      <c r="T154" s="33"/>
      <c r="U154" s="33"/>
      <c r="V154" s="33"/>
      <c r="W154" s="33"/>
      <c r="X154" s="33"/>
      <c r="Y154" s="4"/>
      <c r="Z154" s="5"/>
    </row>
    <row r="155" spans="1:26" ht="15.75" customHeight="1">
      <c r="A155" s="109" t="s">
        <v>36</v>
      </c>
      <c r="B155" s="109" t="s">
        <v>37</v>
      </c>
      <c r="C155" s="110" t="s">
        <v>6</v>
      </c>
      <c r="D155" s="111" t="s">
        <v>50</v>
      </c>
      <c r="E155" s="112" t="s">
        <v>38</v>
      </c>
      <c r="F155" s="2"/>
      <c r="G155" s="2"/>
      <c r="H155" s="3"/>
      <c r="I155" s="109" t="s">
        <v>62</v>
      </c>
      <c r="J155" s="109" t="s">
        <v>40</v>
      </c>
      <c r="K155" s="113" t="s">
        <v>41</v>
      </c>
      <c r="L155" s="114" t="s">
        <v>42</v>
      </c>
      <c r="M155" s="114" t="s">
        <v>43</v>
      </c>
      <c r="N155" s="109" t="s">
        <v>44</v>
      </c>
      <c r="O155" s="113" t="s">
        <v>63</v>
      </c>
      <c r="P155" s="113" t="s">
        <v>64</v>
      </c>
      <c r="Q155" s="115" t="s">
        <v>67</v>
      </c>
      <c r="R155" s="2"/>
      <c r="S155" s="2"/>
      <c r="T155" s="2"/>
      <c r="U155" s="2"/>
      <c r="V155" s="3"/>
      <c r="W155" s="116" t="s">
        <v>48</v>
      </c>
      <c r="X155" s="117" t="s">
        <v>49</v>
      </c>
      <c r="Y155" s="4"/>
      <c r="Z155" s="5"/>
    </row>
    <row r="156" spans="1:26" ht="15.75" customHeight="1">
      <c r="A156" s="62"/>
      <c r="B156" s="62"/>
      <c r="C156" s="62"/>
      <c r="D156" s="34"/>
      <c r="E156" s="118" t="s">
        <v>51</v>
      </c>
      <c r="F156" s="118" t="s">
        <v>52</v>
      </c>
      <c r="G156" s="118" t="s">
        <v>53</v>
      </c>
      <c r="H156" s="118" t="s">
        <v>65</v>
      </c>
      <c r="I156" s="62"/>
      <c r="J156" s="62"/>
      <c r="K156" s="62"/>
      <c r="L156" s="62"/>
      <c r="M156" s="62"/>
      <c r="N156" s="62"/>
      <c r="O156" s="62"/>
      <c r="P156" s="62"/>
      <c r="Q156" s="119" t="s">
        <v>55</v>
      </c>
      <c r="R156" s="120" t="s">
        <v>56</v>
      </c>
      <c r="S156" s="120" t="s">
        <v>57</v>
      </c>
      <c r="T156" s="120" t="s">
        <v>58</v>
      </c>
      <c r="U156" s="121" t="s">
        <v>59</v>
      </c>
      <c r="V156" s="122" t="s">
        <v>60</v>
      </c>
      <c r="W156" s="51"/>
      <c r="X156" s="51"/>
      <c r="Y156" s="4"/>
      <c r="Z156" s="5"/>
    </row>
    <row r="157" spans="1:26" ht="15" customHeight="1">
      <c r="A157" s="69"/>
      <c r="B157" s="70"/>
      <c r="C157" s="71"/>
      <c r="D157" s="72"/>
      <c r="E157" s="72"/>
      <c r="F157" s="72"/>
      <c r="G157" s="72"/>
      <c r="H157" s="72"/>
      <c r="I157" s="73"/>
      <c r="J157" s="74"/>
      <c r="K157" s="73"/>
      <c r="L157" s="75"/>
      <c r="M157" s="73"/>
      <c r="N157" s="73" t="str">
        <f>IF(M157&lt;=$A$394,"FINALIZADO","ACTIVO")</f>
        <v>FINALIZADO</v>
      </c>
      <c r="O157" s="74"/>
      <c r="P157" s="76">
        <f>O157*4/1000+O157</f>
        <v>0</v>
      </c>
      <c r="Q157" s="77"/>
      <c r="R157" s="77"/>
      <c r="S157" s="77"/>
      <c r="T157" s="79"/>
      <c r="U157" s="79"/>
      <c r="V157" s="80">
        <f t="shared" ref="V157:V162" si="6">U157*4/1000+U157</f>
        <v>0</v>
      </c>
      <c r="W157" s="81">
        <f>P157-V157-V158-V159</f>
        <v>0</v>
      </c>
      <c r="X157" s="82"/>
      <c r="Y157" s="45"/>
      <c r="Z157" s="5"/>
    </row>
    <row r="158" spans="1:26" ht="15" customHeight="1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77"/>
      <c r="R158" s="77"/>
      <c r="S158" s="77"/>
      <c r="T158" s="79"/>
      <c r="U158" s="79"/>
      <c r="V158" s="80">
        <f t="shared" si="6"/>
        <v>0</v>
      </c>
      <c r="W158" s="83"/>
      <c r="X158" s="83"/>
      <c r="Y158" s="45"/>
      <c r="Z158" s="5"/>
    </row>
    <row r="159" spans="1:26" ht="15" customHeight="1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77"/>
      <c r="R159" s="77"/>
      <c r="S159" s="77"/>
      <c r="T159" s="79"/>
      <c r="U159" s="79"/>
      <c r="V159" s="80">
        <f t="shared" si="6"/>
        <v>0</v>
      </c>
      <c r="W159" s="83"/>
      <c r="X159" s="83"/>
      <c r="Y159" s="45"/>
      <c r="Z159" s="5"/>
    </row>
    <row r="160" spans="1:26" ht="15" customHeight="1">
      <c r="A160" s="84"/>
      <c r="B160" s="85"/>
      <c r="C160" s="86"/>
      <c r="D160" s="87"/>
      <c r="E160" s="87"/>
      <c r="F160" s="87"/>
      <c r="G160" s="87"/>
      <c r="H160" s="87"/>
      <c r="I160" s="88"/>
      <c r="J160" s="89"/>
      <c r="K160" s="88"/>
      <c r="L160" s="90"/>
      <c r="M160" s="88"/>
      <c r="N160" s="88" t="str">
        <f>IF(M160&lt;=$A$394,"FINALIZADO","ACTIVO")</f>
        <v>FINALIZADO</v>
      </c>
      <c r="O160" s="89"/>
      <c r="P160" s="91">
        <f>O160*4/1000+O160</f>
        <v>0</v>
      </c>
      <c r="Q160" s="92"/>
      <c r="R160" s="92"/>
      <c r="S160" s="92"/>
      <c r="T160" s="93"/>
      <c r="U160" s="93"/>
      <c r="V160" s="94">
        <f t="shared" si="6"/>
        <v>0</v>
      </c>
      <c r="W160" s="95">
        <f>P160-V160-V161-V162</f>
        <v>0</v>
      </c>
      <c r="X160" s="96"/>
      <c r="Y160" s="45"/>
      <c r="Z160" s="5"/>
    </row>
    <row r="161" spans="1:26" ht="15" customHeight="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92"/>
      <c r="R161" s="92"/>
      <c r="S161" s="92"/>
      <c r="T161" s="93"/>
      <c r="U161" s="93"/>
      <c r="V161" s="94">
        <f t="shared" si="6"/>
        <v>0</v>
      </c>
      <c r="W161" s="83"/>
      <c r="X161" s="83"/>
      <c r="Y161" s="45"/>
      <c r="Z161" s="5"/>
    </row>
    <row r="162" spans="1:26" ht="15" customHeight="1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92"/>
      <c r="R162" s="92"/>
      <c r="S162" s="92"/>
      <c r="T162" s="93"/>
      <c r="U162" s="93"/>
      <c r="V162" s="94">
        <f t="shared" si="6"/>
        <v>0</v>
      </c>
      <c r="W162" s="83"/>
      <c r="X162" s="83"/>
      <c r="Y162" s="45"/>
      <c r="Z162" s="5"/>
    </row>
    <row r="163" spans="1:26" ht="9.75" customHeight="1">
      <c r="A163" s="97"/>
      <c r="B163" s="97"/>
      <c r="C163" s="98"/>
      <c r="D163" s="45"/>
      <c r="E163" s="45"/>
      <c r="F163" s="45"/>
      <c r="G163" s="45"/>
      <c r="H163" s="45"/>
      <c r="I163" s="97"/>
      <c r="J163" s="97"/>
      <c r="K163" s="97"/>
      <c r="L163" s="97"/>
      <c r="M163" s="97"/>
      <c r="N163" s="97"/>
      <c r="O163" s="45"/>
      <c r="P163" s="99"/>
      <c r="Q163" s="100"/>
      <c r="R163" s="97"/>
      <c r="S163" s="101"/>
      <c r="T163" s="101"/>
      <c r="U163" s="101"/>
      <c r="V163" s="101"/>
      <c r="W163" s="102"/>
      <c r="X163" s="45"/>
      <c r="Y163" s="45"/>
      <c r="Z163" s="5"/>
    </row>
    <row r="164" spans="1:26" ht="30.75" customHeight="1">
      <c r="A164" s="123" t="s">
        <v>73</v>
      </c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47"/>
      <c r="Z164" s="5"/>
    </row>
    <row r="165" spans="1:26" ht="21.75" customHeight="1">
      <c r="A165" s="124" t="s">
        <v>31</v>
      </c>
      <c r="B165" s="106" t="s">
        <v>74</v>
      </c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125" t="s">
        <v>33</v>
      </c>
      <c r="P165" s="33"/>
      <c r="Q165" s="33"/>
      <c r="R165" s="33"/>
      <c r="S165" s="50"/>
      <c r="T165" s="33"/>
      <c r="U165" s="33"/>
      <c r="V165" s="33"/>
      <c r="W165" s="33"/>
      <c r="X165" s="33"/>
      <c r="Y165" s="47"/>
      <c r="Z165" s="5"/>
    </row>
    <row r="166" spans="1:26" ht="20.25" customHeight="1">
      <c r="A166" s="51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125" t="s">
        <v>34</v>
      </c>
      <c r="P166" s="33"/>
      <c r="Q166" s="33"/>
      <c r="R166" s="33"/>
      <c r="S166" s="50">
        <f>SUBTOTAL(109,P170:P175)</f>
        <v>0</v>
      </c>
      <c r="T166" s="33"/>
      <c r="U166" s="33"/>
      <c r="V166" s="33"/>
      <c r="W166" s="33"/>
      <c r="X166" s="33"/>
      <c r="Y166" s="47"/>
      <c r="Z166" s="5"/>
    </row>
    <row r="167" spans="1:26" ht="20.2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126" t="s">
        <v>35</v>
      </c>
      <c r="P167" s="51"/>
      <c r="Q167" s="51"/>
      <c r="R167" s="51"/>
      <c r="S167" s="50">
        <f>S165-S166</f>
        <v>0</v>
      </c>
      <c r="T167" s="33"/>
      <c r="U167" s="33"/>
      <c r="V167" s="33"/>
      <c r="W167" s="33"/>
      <c r="X167" s="33"/>
      <c r="Y167" s="4"/>
      <c r="Z167" s="5"/>
    </row>
    <row r="168" spans="1:26" ht="15.75" customHeight="1">
      <c r="A168" s="127" t="s">
        <v>36</v>
      </c>
      <c r="B168" s="127" t="s">
        <v>37</v>
      </c>
      <c r="C168" s="128" t="s">
        <v>6</v>
      </c>
      <c r="D168" s="129" t="s">
        <v>50</v>
      </c>
      <c r="E168" s="130" t="s">
        <v>38</v>
      </c>
      <c r="F168" s="2"/>
      <c r="G168" s="2"/>
      <c r="H168" s="3"/>
      <c r="I168" s="127" t="s">
        <v>62</v>
      </c>
      <c r="J168" s="127" t="s">
        <v>40</v>
      </c>
      <c r="K168" s="131" t="s">
        <v>41</v>
      </c>
      <c r="L168" s="132" t="s">
        <v>42</v>
      </c>
      <c r="M168" s="132" t="s">
        <v>43</v>
      </c>
      <c r="N168" s="127" t="s">
        <v>44</v>
      </c>
      <c r="O168" s="131" t="s">
        <v>63</v>
      </c>
      <c r="P168" s="131" t="s">
        <v>64</v>
      </c>
      <c r="Q168" s="133" t="s">
        <v>67</v>
      </c>
      <c r="R168" s="2"/>
      <c r="S168" s="2"/>
      <c r="T168" s="2"/>
      <c r="U168" s="2"/>
      <c r="V168" s="3"/>
      <c r="W168" s="134" t="s">
        <v>48</v>
      </c>
      <c r="X168" s="135" t="s">
        <v>49</v>
      </c>
      <c r="Y168" s="4"/>
      <c r="Z168" s="5"/>
    </row>
    <row r="169" spans="1:26" ht="15.75" customHeight="1">
      <c r="A169" s="62"/>
      <c r="B169" s="62"/>
      <c r="C169" s="62"/>
      <c r="D169" s="34"/>
      <c r="E169" s="136" t="s">
        <v>51</v>
      </c>
      <c r="F169" s="136" t="s">
        <v>52</v>
      </c>
      <c r="G169" s="136" t="s">
        <v>53</v>
      </c>
      <c r="H169" s="136" t="s">
        <v>65</v>
      </c>
      <c r="I169" s="62"/>
      <c r="J169" s="62"/>
      <c r="K169" s="62"/>
      <c r="L169" s="62"/>
      <c r="M169" s="62"/>
      <c r="N169" s="62"/>
      <c r="O169" s="62"/>
      <c r="P169" s="62"/>
      <c r="Q169" s="137" t="s">
        <v>55</v>
      </c>
      <c r="R169" s="138" t="s">
        <v>56</v>
      </c>
      <c r="S169" s="138" t="s">
        <v>57</v>
      </c>
      <c r="T169" s="138" t="s">
        <v>58</v>
      </c>
      <c r="U169" s="139" t="s">
        <v>59</v>
      </c>
      <c r="V169" s="140" t="s">
        <v>60</v>
      </c>
      <c r="W169" s="51"/>
      <c r="X169" s="51"/>
      <c r="Y169" s="4"/>
      <c r="Z169" s="5"/>
    </row>
    <row r="170" spans="1:26" ht="15" customHeight="1">
      <c r="A170" s="69"/>
      <c r="B170" s="70"/>
      <c r="C170" s="71"/>
      <c r="D170" s="72"/>
      <c r="E170" s="72"/>
      <c r="F170" s="72"/>
      <c r="G170" s="72"/>
      <c r="H170" s="72"/>
      <c r="I170" s="73"/>
      <c r="J170" s="74"/>
      <c r="K170" s="73"/>
      <c r="L170" s="75"/>
      <c r="M170" s="73"/>
      <c r="N170" s="73" t="str">
        <f>IF(M170&lt;=$A$394,"FINALIZADO","ACTIVO")</f>
        <v>FINALIZADO</v>
      </c>
      <c r="O170" s="74"/>
      <c r="P170" s="76">
        <f>O170*4/1000+O170</f>
        <v>0</v>
      </c>
      <c r="Q170" s="77"/>
      <c r="R170" s="77"/>
      <c r="S170" s="77"/>
      <c r="T170" s="79"/>
      <c r="U170" s="79"/>
      <c r="V170" s="80">
        <f t="shared" ref="V170:V175" si="7">U170*4/1000+U170</f>
        <v>0</v>
      </c>
      <c r="W170" s="81">
        <f>P170-V170-V171-V172</f>
        <v>0</v>
      </c>
      <c r="X170" s="82"/>
      <c r="Y170" s="45"/>
      <c r="Z170" s="5"/>
    </row>
    <row r="171" spans="1:26" ht="15" customHeight="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77"/>
      <c r="R171" s="77"/>
      <c r="S171" s="77"/>
      <c r="T171" s="79"/>
      <c r="U171" s="79"/>
      <c r="V171" s="80">
        <f t="shared" si="7"/>
        <v>0</v>
      </c>
      <c r="W171" s="83"/>
      <c r="X171" s="83"/>
      <c r="Y171" s="45"/>
      <c r="Z171" s="5"/>
    </row>
    <row r="172" spans="1:26" ht="15" customHeight="1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77"/>
      <c r="R172" s="77"/>
      <c r="S172" s="77"/>
      <c r="T172" s="79"/>
      <c r="U172" s="79"/>
      <c r="V172" s="80">
        <f t="shared" si="7"/>
        <v>0</v>
      </c>
      <c r="W172" s="83"/>
      <c r="X172" s="83"/>
      <c r="Y172" s="45"/>
      <c r="Z172" s="5"/>
    </row>
    <row r="173" spans="1:26" ht="15" customHeight="1">
      <c r="A173" s="84"/>
      <c r="B173" s="85"/>
      <c r="C173" s="86"/>
      <c r="D173" s="87"/>
      <c r="E173" s="87"/>
      <c r="F173" s="87"/>
      <c r="G173" s="87"/>
      <c r="H173" s="87"/>
      <c r="I173" s="88"/>
      <c r="J173" s="89"/>
      <c r="K173" s="88"/>
      <c r="L173" s="90"/>
      <c r="M173" s="88"/>
      <c r="N173" s="88" t="str">
        <f>IF(M173&lt;=$A$394,"FINALIZADO","ACTIVO")</f>
        <v>FINALIZADO</v>
      </c>
      <c r="O173" s="89"/>
      <c r="P173" s="91">
        <f>O173*4/1000+O173</f>
        <v>0</v>
      </c>
      <c r="Q173" s="92"/>
      <c r="R173" s="92"/>
      <c r="S173" s="92"/>
      <c r="T173" s="93"/>
      <c r="U173" s="93"/>
      <c r="V173" s="94">
        <f t="shared" si="7"/>
        <v>0</v>
      </c>
      <c r="W173" s="95">
        <f>P173-V173-V174-V175</f>
        <v>0</v>
      </c>
      <c r="X173" s="96"/>
      <c r="Y173" s="45"/>
      <c r="Z173" s="5"/>
    </row>
    <row r="174" spans="1:26" ht="15" customHeight="1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92"/>
      <c r="R174" s="92"/>
      <c r="S174" s="92"/>
      <c r="T174" s="93"/>
      <c r="U174" s="93"/>
      <c r="V174" s="94">
        <f t="shared" si="7"/>
        <v>0</v>
      </c>
      <c r="W174" s="83"/>
      <c r="X174" s="83"/>
      <c r="Y174" s="45"/>
      <c r="Z174" s="5"/>
    </row>
    <row r="175" spans="1:26" ht="15" customHeight="1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92"/>
      <c r="R175" s="92"/>
      <c r="S175" s="92"/>
      <c r="T175" s="93"/>
      <c r="U175" s="93"/>
      <c r="V175" s="94">
        <f t="shared" si="7"/>
        <v>0</v>
      </c>
      <c r="W175" s="83"/>
      <c r="X175" s="83"/>
      <c r="Y175" s="45"/>
      <c r="Z175" s="5"/>
    </row>
    <row r="176" spans="1:26" ht="9.75" customHeight="1">
      <c r="A176" s="97"/>
      <c r="B176" s="97"/>
      <c r="C176" s="98"/>
      <c r="D176" s="45"/>
      <c r="E176" s="45"/>
      <c r="F176" s="45"/>
      <c r="G176" s="45"/>
      <c r="H176" s="45"/>
      <c r="I176" s="97"/>
      <c r="J176" s="97"/>
      <c r="K176" s="97"/>
      <c r="L176" s="97"/>
      <c r="M176" s="97"/>
      <c r="N176" s="97"/>
      <c r="O176" s="45"/>
      <c r="P176" s="99"/>
      <c r="Q176" s="100"/>
      <c r="R176" s="97"/>
      <c r="S176" s="101"/>
      <c r="T176" s="101"/>
      <c r="U176" s="101"/>
      <c r="V176" s="101"/>
      <c r="W176" s="102"/>
      <c r="X176" s="45"/>
      <c r="Y176" s="45"/>
      <c r="Z176" s="5"/>
    </row>
    <row r="177" spans="1:26" ht="21.75" customHeight="1">
      <c r="A177" s="124" t="s">
        <v>31</v>
      </c>
      <c r="B177" s="106" t="s">
        <v>75</v>
      </c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125" t="s">
        <v>33</v>
      </c>
      <c r="P177" s="33"/>
      <c r="Q177" s="33"/>
      <c r="R177" s="33"/>
      <c r="S177" s="50"/>
      <c r="T177" s="33"/>
      <c r="U177" s="33"/>
      <c r="V177" s="33"/>
      <c r="W177" s="33"/>
      <c r="X177" s="33"/>
      <c r="Y177" s="47"/>
      <c r="Z177" s="5"/>
    </row>
    <row r="178" spans="1:26" ht="20.25" customHeight="1">
      <c r="A178" s="51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125" t="s">
        <v>34</v>
      </c>
      <c r="P178" s="33"/>
      <c r="Q178" s="33"/>
      <c r="R178" s="33"/>
      <c r="S178" s="50">
        <f>SUBTOTAL(109,P182:P187)</f>
        <v>0</v>
      </c>
      <c r="T178" s="33"/>
      <c r="U178" s="33"/>
      <c r="V178" s="33"/>
      <c r="W178" s="33"/>
      <c r="X178" s="33"/>
      <c r="Y178" s="47"/>
      <c r="Z178" s="5"/>
    </row>
    <row r="179" spans="1:26" ht="20.2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126" t="s">
        <v>35</v>
      </c>
      <c r="P179" s="51"/>
      <c r="Q179" s="51"/>
      <c r="R179" s="51"/>
      <c r="S179" s="50">
        <f>S177-S178</f>
        <v>0</v>
      </c>
      <c r="T179" s="33"/>
      <c r="U179" s="33"/>
      <c r="V179" s="33"/>
      <c r="W179" s="33"/>
      <c r="X179" s="33"/>
      <c r="Y179" s="4"/>
      <c r="Z179" s="5"/>
    </row>
    <row r="180" spans="1:26" ht="15.75" customHeight="1">
      <c r="A180" s="127" t="s">
        <v>36</v>
      </c>
      <c r="B180" s="127" t="s">
        <v>37</v>
      </c>
      <c r="C180" s="128" t="s">
        <v>6</v>
      </c>
      <c r="D180" s="129" t="s">
        <v>50</v>
      </c>
      <c r="E180" s="130" t="s">
        <v>38</v>
      </c>
      <c r="F180" s="2"/>
      <c r="G180" s="2"/>
      <c r="H180" s="3"/>
      <c r="I180" s="127" t="s">
        <v>62</v>
      </c>
      <c r="J180" s="127" t="s">
        <v>40</v>
      </c>
      <c r="K180" s="131" t="s">
        <v>41</v>
      </c>
      <c r="L180" s="132" t="s">
        <v>42</v>
      </c>
      <c r="M180" s="132" t="s">
        <v>43</v>
      </c>
      <c r="N180" s="127" t="s">
        <v>44</v>
      </c>
      <c r="O180" s="131" t="s">
        <v>63</v>
      </c>
      <c r="P180" s="131" t="s">
        <v>64</v>
      </c>
      <c r="Q180" s="133" t="s">
        <v>67</v>
      </c>
      <c r="R180" s="2"/>
      <c r="S180" s="2"/>
      <c r="T180" s="2"/>
      <c r="U180" s="2"/>
      <c r="V180" s="3"/>
      <c r="W180" s="134" t="s">
        <v>48</v>
      </c>
      <c r="X180" s="135" t="s">
        <v>49</v>
      </c>
      <c r="Y180" s="4"/>
      <c r="Z180" s="5"/>
    </row>
    <row r="181" spans="1:26" ht="15.75" customHeight="1">
      <c r="A181" s="62"/>
      <c r="B181" s="62"/>
      <c r="C181" s="62"/>
      <c r="D181" s="34"/>
      <c r="E181" s="136" t="s">
        <v>51</v>
      </c>
      <c r="F181" s="136" t="s">
        <v>52</v>
      </c>
      <c r="G181" s="136" t="s">
        <v>53</v>
      </c>
      <c r="H181" s="136" t="s">
        <v>65</v>
      </c>
      <c r="I181" s="62"/>
      <c r="J181" s="62"/>
      <c r="K181" s="62"/>
      <c r="L181" s="62"/>
      <c r="M181" s="62"/>
      <c r="N181" s="62"/>
      <c r="O181" s="62"/>
      <c r="P181" s="62"/>
      <c r="Q181" s="137" t="s">
        <v>55</v>
      </c>
      <c r="R181" s="138" t="s">
        <v>56</v>
      </c>
      <c r="S181" s="138" t="s">
        <v>57</v>
      </c>
      <c r="T181" s="138" t="s">
        <v>58</v>
      </c>
      <c r="U181" s="139" t="s">
        <v>59</v>
      </c>
      <c r="V181" s="140" t="s">
        <v>60</v>
      </c>
      <c r="W181" s="51"/>
      <c r="X181" s="51"/>
      <c r="Y181" s="4"/>
      <c r="Z181" s="5"/>
    </row>
    <row r="182" spans="1:26" ht="15" customHeight="1">
      <c r="A182" s="69"/>
      <c r="B182" s="70"/>
      <c r="C182" s="71"/>
      <c r="D182" s="72"/>
      <c r="E182" s="72"/>
      <c r="F182" s="72"/>
      <c r="G182" s="72"/>
      <c r="H182" s="72"/>
      <c r="I182" s="73"/>
      <c r="J182" s="74"/>
      <c r="K182" s="73"/>
      <c r="L182" s="75"/>
      <c r="M182" s="73"/>
      <c r="N182" s="73" t="str">
        <f>IF(M182&lt;=$A$394,"FINALIZADO","ACTIVO")</f>
        <v>FINALIZADO</v>
      </c>
      <c r="O182" s="74"/>
      <c r="P182" s="76">
        <f>O182*4/1000+O182</f>
        <v>0</v>
      </c>
      <c r="Q182" s="77"/>
      <c r="R182" s="77"/>
      <c r="S182" s="77"/>
      <c r="T182" s="79"/>
      <c r="U182" s="79"/>
      <c r="V182" s="80">
        <f t="shared" ref="V182:V187" si="8">U182*4/1000+U182</f>
        <v>0</v>
      </c>
      <c r="W182" s="81">
        <f>P182-V182-V183-V184</f>
        <v>0</v>
      </c>
      <c r="X182" s="82"/>
      <c r="Y182" s="45"/>
      <c r="Z182" s="5"/>
    </row>
    <row r="183" spans="1:26" ht="15" customHeight="1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77"/>
      <c r="R183" s="77"/>
      <c r="S183" s="77"/>
      <c r="T183" s="79"/>
      <c r="U183" s="79"/>
      <c r="V183" s="80">
        <f t="shared" si="8"/>
        <v>0</v>
      </c>
      <c r="W183" s="83"/>
      <c r="X183" s="83"/>
      <c r="Y183" s="45"/>
      <c r="Z183" s="5"/>
    </row>
    <row r="184" spans="1:26" ht="15" customHeight="1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77"/>
      <c r="R184" s="77"/>
      <c r="S184" s="77"/>
      <c r="T184" s="79"/>
      <c r="U184" s="79"/>
      <c r="V184" s="80">
        <f t="shared" si="8"/>
        <v>0</v>
      </c>
      <c r="W184" s="83"/>
      <c r="X184" s="83"/>
      <c r="Y184" s="45"/>
      <c r="Z184" s="5"/>
    </row>
    <row r="185" spans="1:26" ht="15" customHeight="1">
      <c r="A185" s="84"/>
      <c r="B185" s="85"/>
      <c r="C185" s="86"/>
      <c r="D185" s="87"/>
      <c r="E185" s="87"/>
      <c r="F185" s="87"/>
      <c r="G185" s="87"/>
      <c r="H185" s="87"/>
      <c r="I185" s="88"/>
      <c r="J185" s="89"/>
      <c r="K185" s="88"/>
      <c r="L185" s="90"/>
      <c r="M185" s="88"/>
      <c r="N185" s="88" t="str">
        <f>IF(M185&lt;=$A$394,"FINALIZADO","ACTIVO")</f>
        <v>FINALIZADO</v>
      </c>
      <c r="O185" s="89"/>
      <c r="P185" s="91">
        <f>O185*4/1000+O185</f>
        <v>0</v>
      </c>
      <c r="Q185" s="92"/>
      <c r="R185" s="92"/>
      <c r="S185" s="92"/>
      <c r="T185" s="93"/>
      <c r="U185" s="93"/>
      <c r="V185" s="94">
        <f t="shared" si="8"/>
        <v>0</v>
      </c>
      <c r="W185" s="95">
        <f>P185-V185-V186-V187</f>
        <v>0</v>
      </c>
      <c r="X185" s="96"/>
      <c r="Y185" s="45"/>
      <c r="Z185" s="5"/>
    </row>
    <row r="186" spans="1:26" ht="15" customHeight="1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92"/>
      <c r="R186" s="92"/>
      <c r="S186" s="92"/>
      <c r="T186" s="93"/>
      <c r="U186" s="93"/>
      <c r="V186" s="94">
        <f t="shared" si="8"/>
        <v>0</v>
      </c>
      <c r="W186" s="83"/>
      <c r="X186" s="83"/>
      <c r="Y186" s="45"/>
      <c r="Z186" s="5"/>
    </row>
    <row r="187" spans="1:26" ht="15" customHeight="1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92"/>
      <c r="R187" s="92"/>
      <c r="S187" s="92"/>
      <c r="T187" s="93"/>
      <c r="U187" s="93"/>
      <c r="V187" s="94">
        <f t="shared" si="8"/>
        <v>0</v>
      </c>
      <c r="W187" s="83"/>
      <c r="X187" s="83"/>
      <c r="Y187" s="45"/>
      <c r="Z187" s="5"/>
    </row>
    <row r="188" spans="1:26" ht="9.75" customHeight="1">
      <c r="A188" s="97"/>
      <c r="B188" s="97"/>
      <c r="C188" s="98"/>
      <c r="D188" s="45"/>
      <c r="E188" s="45"/>
      <c r="F188" s="45"/>
      <c r="G188" s="45"/>
      <c r="H188" s="45"/>
      <c r="I188" s="97"/>
      <c r="J188" s="97"/>
      <c r="K188" s="97"/>
      <c r="L188" s="97"/>
      <c r="M188" s="97"/>
      <c r="N188" s="97"/>
      <c r="O188" s="45"/>
      <c r="P188" s="99"/>
      <c r="Q188" s="100"/>
      <c r="R188" s="97"/>
      <c r="S188" s="101"/>
      <c r="T188" s="101"/>
      <c r="U188" s="101"/>
      <c r="V188" s="101"/>
      <c r="W188" s="102"/>
      <c r="X188" s="45"/>
      <c r="Y188" s="45"/>
      <c r="Z188" s="5"/>
    </row>
    <row r="189" spans="1:26" ht="21.75" customHeight="1">
      <c r="A189" s="124" t="s">
        <v>31</v>
      </c>
      <c r="B189" s="106" t="s">
        <v>76</v>
      </c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125" t="s">
        <v>33</v>
      </c>
      <c r="P189" s="33"/>
      <c r="Q189" s="33"/>
      <c r="R189" s="33"/>
      <c r="S189" s="50"/>
      <c r="T189" s="33"/>
      <c r="U189" s="33"/>
      <c r="V189" s="33"/>
      <c r="W189" s="33"/>
      <c r="X189" s="33"/>
      <c r="Y189" s="47"/>
      <c r="Z189" s="5"/>
    </row>
    <row r="190" spans="1:26" ht="20.25" customHeight="1">
      <c r="A190" s="51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125" t="s">
        <v>34</v>
      </c>
      <c r="P190" s="33"/>
      <c r="Q190" s="33"/>
      <c r="R190" s="33"/>
      <c r="S190" s="50">
        <f>SUBTOTAL(109,P194:P199)</f>
        <v>0</v>
      </c>
      <c r="T190" s="33"/>
      <c r="U190" s="33"/>
      <c r="V190" s="33"/>
      <c r="W190" s="33"/>
      <c r="X190" s="33"/>
      <c r="Y190" s="47"/>
      <c r="Z190" s="5"/>
    </row>
    <row r="191" spans="1:26" ht="20.2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126" t="s">
        <v>35</v>
      </c>
      <c r="P191" s="51"/>
      <c r="Q191" s="51"/>
      <c r="R191" s="51"/>
      <c r="S191" s="50">
        <f>S189-S190</f>
        <v>0</v>
      </c>
      <c r="T191" s="33"/>
      <c r="U191" s="33"/>
      <c r="V191" s="33"/>
      <c r="W191" s="33"/>
      <c r="X191" s="33"/>
      <c r="Y191" s="4"/>
      <c r="Z191" s="5"/>
    </row>
    <row r="192" spans="1:26" ht="15.75" customHeight="1">
      <c r="A192" s="127" t="s">
        <v>36</v>
      </c>
      <c r="B192" s="127" t="s">
        <v>37</v>
      </c>
      <c r="C192" s="128" t="s">
        <v>6</v>
      </c>
      <c r="D192" s="129" t="s">
        <v>50</v>
      </c>
      <c r="E192" s="130" t="s">
        <v>38</v>
      </c>
      <c r="F192" s="2"/>
      <c r="G192" s="2"/>
      <c r="H192" s="3"/>
      <c r="I192" s="127" t="s">
        <v>62</v>
      </c>
      <c r="J192" s="127" t="s">
        <v>40</v>
      </c>
      <c r="K192" s="131" t="s">
        <v>41</v>
      </c>
      <c r="L192" s="132" t="s">
        <v>42</v>
      </c>
      <c r="M192" s="132" t="s">
        <v>43</v>
      </c>
      <c r="N192" s="127" t="s">
        <v>44</v>
      </c>
      <c r="O192" s="131" t="s">
        <v>63</v>
      </c>
      <c r="P192" s="131" t="s">
        <v>64</v>
      </c>
      <c r="Q192" s="133" t="s">
        <v>67</v>
      </c>
      <c r="R192" s="2"/>
      <c r="S192" s="2"/>
      <c r="T192" s="2"/>
      <c r="U192" s="2"/>
      <c r="V192" s="3"/>
      <c r="W192" s="134" t="s">
        <v>48</v>
      </c>
      <c r="X192" s="135" t="s">
        <v>49</v>
      </c>
      <c r="Y192" s="4"/>
      <c r="Z192" s="5"/>
    </row>
    <row r="193" spans="1:26" ht="15.75" customHeight="1">
      <c r="A193" s="62"/>
      <c r="B193" s="62"/>
      <c r="C193" s="62"/>
      <c r="D193" s="34"/>
      <c r="E193" s="136" t="s">
        <v>51</v>
      </c>
      <c r="F193" s="136" t="s">
        <v>52</v>
      </c>
      <c r="G193" s="136" t="s">
        <v>53</v>
      </c>
      <c r="H193" s="136" t="s">
        <v>65</v>
      </c>
      <c r="I193" s="62"/>
      <c r="J193" s="62"/>
      <c r="K193" s="62"/>
      <c r="L193" s="62"/>
      <c r="M193" s="62"/>
      <c r="N193" s="62"/>
      <c r="O193" s="62"/>
      <c r="P193" s="62"/>
      <c r="Q193" s="137" t="s">
        <v>55</v>
      </c>
      <c r="R193" s="138" t="s">
        <v>56</v>
      </c>
      <c r="S193" s="138" t="s">
        <v>57</v>
      </c>
      <c r="T193" s="138" t="s">
        <v>58</v>
      </c>
      <c r="U193" s="139" t="s">
        <v>59</v>
      </c>
      <c r="V193" s="140" t="s">
        <v>60</v>
      </c>
      <c r="W193" s="51"/>
      <c r="X193" s="51"/>
      <c r="Y193" s="4"/>
      <c r="Z193" s="5"/>
    </row>
    <row r="194" spans="1:26" ht="15" customHeight="1">
      <c r="A194" s="69"/>
      <c r="B194" s="70"/>
      <c r="C194" s="71"/>
      <c r="D194" s="72"/>
      <c r="E194" s="72"/>
      <c r="F194" s="72"/>
      <c r="G194" s="72"/>
      <c r="H194" s="72"/>
      <c r="I194" s="73"/>
      <c r="J194" s="74"/>
      <c r="K194" s="73"/>
      <c r="L194" s="75"/>
      <c r="M194" s="73"/>
      <c r="N194" s="73" t="str">
        <f>IF(M194&lt;=$A$394,"FINALIZADO","ACTIVO")</f>
        <v>FINALIZADO</v>
      </c>
      <c r="O194" s="74"/>
      <c r="P194" s="76">
        <f>O194*4/1000+O194</f>
        <v>0</v>
      </c>
      <c r="Q194" s="77"/>
      <c r="R194" s="77"/>
      <c r="S194" s="77"/>
      <c r="T194" s="79"/>
      <c r="U194" s="79"/>
      <c r="V194" s="80">
        <f t="shared" ref="V194:V199" si="9">U194*4/1000+U194</f>
        <v>0</v>
      </c>
      <c r="W194" s="81">
        <f>P194-V194-V195-V196</f>
        <v>0</v>
      </c>
      <c r="X194" s="82"/>
      <c r="Y194" s="45"/>
      <c r="Z194" s="5"/>
    </row>
    <row r="195" spans="1:26" ht="15" customHeight="1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77"/>
      <c r="R195" s="77"/>
      <c r="S195" s="77"/>
      <c r="T195" s="79"/>
      <c r="U195" s="79"/>
      <c r="V195" s="80">
        <f t="shared" si="9"/>
        <v>0</v>
      </c>
      <c r="W195" s="83"/>
      <c r="X195" s="83"/>
      <c r="Y195" s="45"/>
      <c r="Z195" s="5"/>
    </row>
    <row r="196" spans="1:26" ht="15" customHeight="1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77"/>
      <c r="R196" s="77"/>
      <c r="S196" s="77"/>
      <c r="T196" s="79"/>
      <c r="U196" s="79"/>
      <c r="V196" s="80">
        <f t="shared" si="9"/>
        <v>0</v>
      </c>
      <c r="W196" s="83"/>
      <c r="X196" s="83"/>
      <c r="Y196" s="45"/>
      <c r="Z196" s="5"/>
    </row>
    <row r="197" spans="1:26" ht="15" customHeight="1">
      <c r="A197" s="84"/>
      <c r="B197" s="85"/>
      <c r="C197" s="86"/>
      <c r="D197" s="87"/>
      <c r="E197" s="87"/>
      <c r="F197" s="87"/>
      <c r="G197" s="87"/>
      <c r="H197" s="87"/>
      <c r="I197" s="88"/>
      <c r="J197" s="89"/>
      <c r="K197" s="88"/>
      <c r="L197" s="90"/>
      <c r="M197" s="88"/>
      <c r="N197" s="88" t="str">
        <f>IF(M197&lt;=$A$394,"FINALIZADO","ACTIVO")</f>
        <v>FINALIZADO</v>
      </c>
      <c r="O197" s="89"/>
      <c r="P197" s="91">
        <f>O197*4/1000+O197</f>
        <v>0</v>
      </c>
      <c r="Q197" s="92"/>
      <c r="R197" s="92"/>
      <c r="S197" s="92"/>
      <c r="T197" s="93"/>
      <c r="U197" s="93"/>
      <c r="V197" s="94">
        <f t="shared" si="9"/>
        <v>0</v>
      </c>
      <c r="W197" s="95">
        <f>P197-V197-V198-V199</f>
        <v>0</v>
      </c>
      <c r="X197" s="96"/>
      <c r="Y197" s="45"/>
      <c r="Z197" s="5"/>
    </row>
    <row r="198" spans="1:26" ht="15" customHeight="1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92"/>
      <c r="R198" s="92"/>
      <c r="S198" s="92"/>
      <c r="T198" s="93"/>
      <c r="U198" s="93"/>
      <c r="V198" s="94">
        <f t="shared" si="9"/>
        <v>0</v>
      </c>
      <c r="W198" s="83"/>
      <c r="X198" s="83"/>
      <c r="Y198" s="45"/>
      <c r="Z198" s="5"/>
    </row>
    <row r="199" spans="1:26" ht="15" customHeight="1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92"/>
      <c r="R199" s="92"/>
      <c r="S199" s="92"/>
      <c r="T199" s="93"/>
      <c r="U199" s="93"/>
      <c r="V199" s="94">
        <f t="shared" si="9"/>
        <v>0</v>
      </c>
      <c r="W199" s="83"/>
      <c r="X199" s="83"/>
      <c r="Y199" s="45"/>
      <c r="Z199" s="5"/>
    </row>
    <row r="200" spans="1:26" ht="9.75" customHeight="1">
      <c r="A200" s="97"/>
      <c r="B200" s="97"/>
      <c r="C200" s="98"/>
      <c r="D200" s="45"/>
      <c r="E200" s="45"/>
      <c r="F200" s="45"/>
      <c r="G200" s="45"/>
      <c r="H200" s="45"/>
      <c r="I200" s="97"/>
      <c r="J200" s="97"/>
      <c r="K200" s="97"/>
      <c r="L200" s="97"/>
      <c r="M200" s="97"/>
      <c r="N200" s="97"/>
      <c r="O200" s="45"/>
      <c r="P200" s="99"/>
      <c r="Q200" s="100"/>
      <c r="R200" s="97"/>
      <c r="S200" s="101"/>
      <c r="T200" s="101"/>
      <c r="U200" s="101"/>
      <c r="V200" s="101"/>
      <c r="W200" s="102"/>
      <c r="X200" s="45"/>
      <c r="Y200" s="45"/>
      <c r="Z200" s="5"/>
    </row>
    <row r="201" spans="1:26" ht="21.75" customHeight="1">
      <c r="A201" s="124" t="s">
        <v>31</v>
      </c>
      <c r="B201" s="106" t="s">
        <v>77</v>
      </c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125" t="s">
        <v>33</v>
      </c>
      <c r="P201" s="33"/>
      <c r="Q201" s="33"/>
      <c r="R201" s="33"/>
      <c r="S201" s="50"/>
      <c r="T201" s="33"/>
      <c r="U201" s="33"/>
      <c r="V201" s="33"/>
      <c r="W201" s="33"/>
      <c r="X201" s="33"/>
      <c r="Y201" s="47"/>
      <c r="Z201" s="5"/>
    </row>
    <row r="202" spans="1:26" ht="20.25" customHeight="1">
      <c r="A202" s="51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125" t="s">
        <v>34</v>
      </c>
      <c r="P202" s="33"/>
      <c r="Q202" s="33"/>
      <c r="R202" s="33"/>
      <c r="S202" s="50">
        <f>SUBTOTAL(109,P206:P211)</f>
        <v>0</v>
      </c>
      <c r="T202" s="33"/>
      <c r="U202" s="33"/>
      <c r="V202" s="33"/>
      <c r="W202" s="33"/>
      <c r="X202" s="33"/>
      <c r="Y202" s="47"/>
      <c r="Z202" s="5"/>
    </row>
    <row r="203" spans="1:26" ht="20.2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126" t="s">
        <v>35</v>
      </c>
      <c r="P203" s="51"/>
      <c r="Q203" s="51"/>
      <c r="R203" s="51"/>
      <c r="S203" s="50">
        <f>S201-S202</f>
        <v>0</v>
      </c>
      <c r="T203" s="33"/>
      <c r="U203" s="33"/>
      <c r="V203" s="33"/>
      <c r="W203" s="33"/>
      <c r="X203" s="33"/>
      <c r="Y203" s="4"/>
      <c r="Z203" s="5"/>
    </row>
    <row r="204" spans="1:26" ht="15.75" customHeight="1">
      <c r="A204" s="127" t="s">
        <v>36</v>
      </c>
      <c r="B204" s="127" t="s">
        <v>37</v>
      </c>
      <c r="C204" s="128" t="s">
        <v>6</v>
      </c>
      <c r="D204" s="129" t="s">
        <v>50</v>
      </c>
      <c r="E204" s="130" t="s">
        <v>38</v>
      </c>
      <c r="F204" s="2"/>
      <c r="G204" s="2"/>
      <c r="H204" s="3"/>
      <c r="I204" s="127" t="s">
        <v>62</v>
      </c>
      <c r="J204" s="127" t="s">
        <v>40</v>
      </c>
      <c r="K204" s="131" t="s">
        <v>41</v>
      </c>
      <c r="L204" s="132" t="s">
        <v>42</v>
      </c>
      <c r="M204" s="132" t="s">
        <v>43</v>
      </c>
      <c r="N204" s="127" t="s">
        <v>44</v>
      </c>
      <c r="O204" s="131" t="s">
        <v>63</v>
      </c>
      <c r="P204" s="131" t="s">
        <v>64</v>
      </c>
      <c r="Q204" s="133" t="s">
        <v>67</v>
      </c>
      <c r="R204" s="2"/>
      <c r="S204" s="2"/>
      <c r="T204" s="2"/>
      <c r="U204" s="2"/>
      <c r="V204" s="3"/>
      <c r="W204" s="134" t="s">
        <v>48</v>
      </c>
      <c r="X204" s="135" t="s">
        <v>49</v>
      </c>
      <c r="Y204" s="4"/>
      <c r="Z204" s="5"/>
    </row>
    <row r="205" spans="1:26" ht="15.75" customHeight="1">
      <c r="A205" s="62"/>
      <c r="B205" s="62"/>
      <c r="C205" s="62"/>
      <c r="D205" s="34"/>
      <c r="E205" s="136" t="s">
        <v>51</v>
      </c>
      <c r="F205" s="136" t="s">
        <v>52</v>
      </c>
      <c r="G205" s="136" t="s">
        <v>53</v>
      </c>
      <c r="H205" s="136" t="s">
        <v>65</v>
      </c>
      <c r="I205" s="62"/>
      <c r="J205" s="62"/>
      <c r="K205" s="62"/>
      <c r="L205" s="62"/>
      <c r="M205" s="62"/>
      <c r="N205" s="62"/>
      <c r="O205" s="62"/>
      <c r="P205" s="62"/>
      <c r="Q205" s="137" t="s">
        <v>55</v>
      </c>
      <c r="R205" s="138" t="s">
        <v>56</v>
      </c>
      <c r="S205" s="138" t="s">
        <v>57</v>
      </c>
      <c r="T205" s="138" t="s">
        <v>58</v>
      </c>
      <c r="U205" s="139" t="s">
        <v>59</v>
      </c>
      <c r="V205" s="140" t="s">
        <v>60</v>
      </c>
      <c r="W205" s="51"/>
      <c r="X205" s="51"/>
      <c r="Y205" s="4"/>
      <c r="Z205" s="5"/>
    </row>
    <row r="206" spans="1:26" ht="15" customHeight="1">
      <c r="A206" s="69"/>
      <c r="B206" s="70"/>
      <c r="C206" s="71"/>
      <c r="D206" s="72"/>
      <c r="E206" s="72"/>
      <c r="F206" s="72"/>
      <c r="G206" s="72"/>
      <c r="H206" s="72"/>
      <c r="I206" s="73"/>
      <c r="J206" s="74"/>
      <c r="K206" s="73"/>
      <c r="L206" s="75"/>
      <c r="M206" s="73"/>
      <c r="N206" s="73" t="str">
        <f>IF(M206&lt;=$A$394,"FINALIZADO","ACTIVO")</f>
        <v>FINALIZADO</v>
      </c>
      <c r="O206" s="74"/>
      <c r="P206" s="76">
        <f>O206*4/1000+O206</f>
        <v>0</v>
      </c>
      <c r="Q206" s="77"/>
      <c r="R206" s="77"/>
      <c r="S206" s="77"/>
      <c r="T206" s="79"/>
      <c r="U206" s="79"/>
      <c r="V206" s="80">
        <f t="shared" ref="V206:V211" si="10">U206*4/1000+U206</f>
        <v>0</v>
      </c>
      <c r="W206" s="81">
        <f>P206-V206-V207-V208</f>
        <v>0</v>
      </c>
      <c r="X206" s="82"/>
      <c r="Y206" s="45"/>
      <c r="Z206" s="5"/>
    </row>
    <row r="207" spans="1:26" ht="15" customHeight="1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77"/>
      <c r="R207" s="77"/>
      <c r="S207" s="77"/>
      <c r="T207" s="79"/>
      <c r="U207" s="79"/>
      <c r="V207" s="80">
        <f t="shared" si="10"/>
        <v>0</v>
      </c>
      <c r="W207" s="83"/>
      <c r="X207" s="83"/>
      <c r="Y207" s="45"/>
      <c r="Z207" s="5"/>
    </row>
    <row r="208" spans="1:26" ht="15" customHeight="1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77"/>
      <c r="R208" s="77"/>
      <c r="S208" s="77"/>
      <c r="T208" s="79"/>
      <c r="U208" s="79"/>
      <c r="V208" s="80">
        <f t="shared" si="10"/>
        <v>0</v>
      </c>
      <c r="W208" s="83"/>
      <c r="X208" s="83"/>
      <c r="Y208" s="45"/>
      <c r="Z208" s="5"/>
    </row>
    <row r="209" spans="1:26" ht="15" customHeight="1">
      <c r="A209" s="84"/>
      <c r="B209" s="85"/>
      <c r="C209" s="86"/>
      <c r="D209" s="87"/>
      <c r="E209" s="87"/>
      <c r="F209" s="87"/>
      <c r="G209" s="87"/>
      <c r="H209" s="87"/>
      <c r="I209" s="88"/>
      <c r="J209" s="89"/>
      <c r="K209" s="88"/>
      <c r="L209" s="90"/>
      <c r="M209" s="88"/>
      <c r="N209" s="88" t="str">
        <f>IF(M209&lt;=$A$394,"FINALIZADO","ACTIVO")</f>
        <v>FINALIZADO</v>
      </c>
      <c r="O209" s="89"/>
      <c r="P209" s="91">
        <f>O209*4/1000+O209</f>
        <v>0</v>
      </c>
      <c r="Q209" s="92"/>
      <c r="R209" s="92"/>
      <c r="S209" s="92"/>
      <c r="T209" s="93"/>
      <c r="U209" s="93"/>
      <c r="V209" s="94">
        <f t="shared" si="10"/>
        <v>0</v>
      </c>
      <c r="W209" s="95">
        <f>P209-V209-V210-V211</f>
        <v>0</v>
      </c>
      <c r="X209" s="96"/>
      <c r="Y209" s="45"/>
      <c r="Z209" s="5"/>
    </row>
    <row r="210" spans="1:26" ht="15" customHeight="1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92"/>
      <c r="R210" s="92"/>
      <c r="S210" s="92"/>
      <c r="T210" s="93"/>
      <c r="U210" s="93"/>
      <c r="V210" s="94">
        <f t="shared" si="10"/>
        <v>0</v>
      </c>
      <c r="W210" s="83"/>
      <c r="X210" s="83"/>
      <c r="Y210" s="45"/>
      <c r="Z210" s="5"/>
    </row>
    <row r="211" spans="1:26" ht="15" customHeight="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92"/>
      <c r="R211" s="92"/>
      <c r="S211" s="92"/>
      <c r="T211" s="93"/>
      <c r="U211" s="93"/>
      <c r="V211" s="94">
        <f t="shared" si="10"/>
        <v>0</v>
      </c>
      <c r="W211" s="83"/>
      <c r="X211" s="83"/>
      <c r="Y211" s="45"/>
      <c r="Z211" s="5"/>
    </row>
    <row r="212" spans="1:26" ht="9.75" customHeight="1">
      <c r="A212" s="97"/>
      <c r="B212" s="97"/>
      <c r="C212" s="98"/>
      <c r="D212" s="45"/>
      <c r="E212" s="45"/>
      <c r="F212" s="45"/>
      <c r="G212" s="45"/>
      <c r="H212" s="45"/>
      <c r="I212" s="97"/>
      <c r="J212" s="97"/>
      <c r="K212" s="97"/>
      <c r="L212" s="97"/>
      <c r="M212" s="97"/>
      <c r="N212" s="97"/>
      <c r="O212" s="45"/>
      <c r="P212" s="99"/>
      <c r="Q212" s="100"/>
      <c r="R212" s="97"/>
      <c r="S212" s="101"/>
      <c r="T212" s="101"/>
      <c r="U212" s="101"/>
      <c r="V212" s="101"/>
      <c r="W212" s="102"/>
      <c r="X212" s="45"/>
      <c r="Y212" s="45"/>
      <c r="Z212" s="5"/>
    </row>
    <row r="213" spans="1:26" ht="21.75" customHeight="1">
      <c r="A213" s="124" t="s">
        <v>31</v>
      </c>
      <c r="B213" s="106" t="s">
        <v>78</v>
      </c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125" t="s">
        <v>33</v>
      </c>
      <c r="P213" s="33"/>
      <c r="Q213" s="33"/>
      <c r="R213" s="33"/>
      <c r="S213" s="50"/>
      <c r="T213" s="33"/>
      <c r="U213" s="33"/>
      <c r="V213" s="33"/>
      <c r="W213" s="33"/>
      <c r="X213" s="33"/>
      <c r="Y213" s="47"/>
      <c r="Z213" s="5"/>
    </row>
    <row r="214" spans="1:26" ht="20.25" customHeight="1">
      <c r="A214" s="51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125" t="s">
        <v>34</v>
      </c>
      <c r="P214" s="33"/>
      <c r="Q214" s="33"/>
      <c r="R214" s="33"/>
      <c r="S214" s="50">
        <f>SUBTOTAL(109,P218:P223)</f>
        <v>0</v>
      </c>
      <c r="T214" s="33"/>
      <c r="U214" s="33"/>
      <c r="V214" s="33"/>
      <c r="W214" s="33"/>
      <c r="X214" s="33"/>
      <c r="Y214" s="47"/>
      <c r="Z214" s="5"/>
    </row>
    <row r="215" spans="1:26" ht="20.2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126" t="s">
        <v>35</v>
      </c>
      <c r="P215" s="51"/>
      <c r="Q215" s="51"/>
      <c r="R215" s="51"/>
      <c r="S215" s="50">
        <f>S213-S214</f>
        <v>0</v>
      </c>
      <c r="T215" s="33"/>
      <c r="U215" s="33"/>
      <c r="V215" s="33"/>
      <c r="W215" s="33"/>
      <c r="X215" s="33"/>
      <c r="Y215" s="4"/>
      <c r="Z215" s="5"/>
    </row>
    <row r="216" spans="1:26" ht="15.75" customHeight="1">
      <c r="A216" s="127" t="s">
        <v>36</v>
      </c>
      <c r="B216" s="127" t="s">
        <v>37</v>
      </c>
      <c r="C216" s="128" t="s">
        <v>6</v>
      </c>
      <c r="D216" s="129" t="s">
        <v>50</v>
      </c>
      <c r="E216" s="130" t="s">
        <v>38</v>
      </c>
      <c r="F216" s="2"/>
      <c r="G216" s="2"/>
      <c r="H216" s="3"/>
      <c r="I216" s="127" t="s">
        <v>62</v>
      </c>
      <c r="J216" s="127" t="s">
        <v>40</v>
      </c>
      <c r="K216" s="131" t="s">
        <v>41</v>
      </c>
      <c r="L216" s="132" t="s">
        <v>42</v>
      </c>
      <c r="M216" s="132" t="s">
        <v>43</v>
      </c>
      <c r="N216" s="127" t="s">
        <v>44</v>
      </c>
      <c r="O216" s="131" t="s">
        <v>63</v>
      </c>
      <c r="P216" s="131" t="s">
        <v>64</v>
      </c>
      <c r="Q216" s="133" t="s">
        <v>67</v>
      </c>
      <c r="R216" s="2"/>
      <c r="S216" s="2"/>
      <c r="T216" s="2"/>
      <c r="U216" s="2"/>
      <c r="V216" s="3"/>
      <c r="W216" s="134" t="s">
        <v>48</v>
      </c>
      <c r="X216" s="135" t="s">
        <v>49</v>
      </c>
      <c r="Y216" s="4"/>
      <c r="Z216" s="5"/>
    </row>
    <row r="217" spans="1:26" ht="15.75" customHeight="1">
      <c r="A217" s="62"/>
      <c r="B217" s="62"/>
      <c r="C217" s="62"/>
      <c r="D217" s="34"/>
      <c r="E217" s="136" t="s">
        <v>51</v>
      </c>
      <c r="F217" s="136" t="s">
        <v>52</v>
      </c>
      <c r="G217" s="136" t="s">
        <v>53</v>
      </c>
      <c r="H217" s="136" t="s">
        <v>65</v>
      </c>
      <c r="I217" s="62"/>
      <c r="J217" s="62"/>
      <c r="K217" s="62"/>
      <c r="L217" s="62"/>
      <c r="M217" s="62"/>
      <c r="N217" s="62"/>
      <c r="O217" s="62"/>
      <c r="P217" s="62"/>
      <c r="Q217" s="137" t="s">
        <v>55</v>
      </c>
      <c r="R217" s="138" t="s">
        <v>56</v>
      </c>
      <c r="S217" s="138" t="s">
        <v>57</v>
      </c>
      <c r="T217" s="138" t="s">
        <v>58</v>
      </c>
      <c r="U217" s="139" t="s">
        <v>59</v>
      </c>
      <c r="V217" s="140" t="s">
        <v>60</v>
      </c>
      <c r="W217" s="51"/>
      <c r="X217" s="51"/>
      <c r="Y217" s="4"/>
      <c r="Z217" s="5"/>
    </row>
    <row r="218" spans="1:26" ht="15" customHeight="1">
      <c r="A218" s="69"/>
      <c r="B218" s="70"/>
      <c r="C218" s="71"/>
      <c r="D218" s="72"/>
      <c r="E218" s="72"/>
      <c r="F218" s="72"/>
      <c r="G218" s="72"/>
      <c r="H218" s="72"/>
      <c r="I218" s="73"/>
      <c r="J218" s="74"/>
      <c r="K218" s="73"/>
      <c r="L218" s="75"/>
      <c r="M218" s="73"/>
      <c r="N218" s="73" t="str">
        <f>IF(M218&lt;=$A$394,"FINALIZADO","ACTIVO")</f>
        <v>FINALIZADO</v>
      </c>
      <c r="O218" s="74"/>
      <c r="P218" s="76">
        <f>O218*4/1000+O218</f>
        <v>0</v>
      </c>
      <c r="Q218" s="77"/>
      <c r="R218" s="77"/>
      <c r="S218" s="77"/>
      <c r="T218" s="79"/>
      <c r="U218" s="79"/>
      <c r="V218" s="80">
        <f t="shared" ref="V218:V223" si="11">U218*4/1000+U218</f>
        <v>0</v>
      </c>
      <c r="W218" s="81">
        <f>P218-V218-V219-V220</f>
        <v>0</v>
      </c>
      <c r="X218" s="82"/>
      <c r="Y218" s="45"/>
      <c r="Z218" s="5"/>
    </row>
    <row r="219" spans="1:26" ht="15" customHeight="1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77"/>
      <c r="R219" s="77"/>
      <c r="S219" s="77"/>
      <c r="T219" s="79"/>
      <c r="U219" s="79"/>
      <c r="V219" s="80">
        <f t="shared" si="11"/>
        <v>0</v>
      </c>
      <c r="W219" s="83"/>
      <c r="X219" s="83"/>
      <c r="Y219" s="45"/>
      <c r="Z219" s="5"/>
    </row>
    <row r="220" spans="1:26" ht="15" customHeight="1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77"/>
      <c r="R220" s="77"/>
      <c r="S220" s="77"/>
      <c r="T220" s="79"/>
      <c r="U220" s="79"/>
      <c r="V220" s="80">
        <f t="shared" si="11"/>
        <v>0</v>
      </c>
      <c r="W220" s="83"/>
      <c r="X220" s="83"/>
      <c r="Y220" s="45"/>
      <c r="Z220" s="5"/>
    </row>
    <row r="221" spans="1:26" ht="15" customHeight="1">
      <c r="A221" s="84"/>
      <c r="B221" s="85"/>
      <c r="C221" s="86"/>
      <c r="D221" s="87"/>
      <c r="E221" s="87"/>
      <c r="F221" s="87"/>
      <c r="G221" s="87"/>
      <c r="H221" s="87"/>
      <c r="I221" s="88"/>
      <c r="J221" s="89"/>
      <c r="K221" s="88"/>
      <c r="L221" s="90"/>
      <c r="M221" s="88"/>
      <c r="N221" s="88" t="str">
        <f>IF(M221&lt;=$A$394,"FINALIZADO","ACTIVO")</f>
        <v>FINALIZADO</v>
      </c>
      <c r="O221" s="89"/>
      <c r="P221" s="91">
        <f>O221*4/1000+O221</f>
        <v>0</v>
      </c>
      <c r="Q221" s="92"/>
      <c r="R221" s="92"/>
      <c r="S221" s="92"/>
      <c r="T221" s="93"/>
      <c r="U221" s="93"/>
      <c r="V221" s="94">
        <f t="shared" si="11"/>
        <v>0</v>
      </c>
      <c r="W221" s="95">
        <f>P221-V221-V222-V223</f>
        <v>0</v>
      </c>
      <c r="X221" s="96"/>
      <c r="Y221" s="45"/>
      <c r="Z221" s="5"/>
    </row>
    <row r="222" spans="1:26" ht="15" customHeight="1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92"/>
      <c r="R222" s="92"/>
      <c r="S222" s="92"/>
      <c r="T222" s="93"/>
      <c r="U222" s="93"/>
      <c r="V222" s="94">
        <f t="shared" si="11"/>
        <v>0</v>
      </c>
      <c r="W222" s="83"/>
      <c r="X222" s="83"/>
      <c r="Y222" s="45"/>
      <c r="Z222" s="5"/>
    </row>
    <row r="223" spans="1:26" ht="15" customHeight="1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92"/>
      <c r="R223" s="92"/>
      <c r="S223" s="92"/>
      <c r="T223" s="93"/>
      <c r="U223" s="93"/>
      <c r="V223" s="94">
        <f t="shared" si="11"/>
        <v>0</v>
      </c>
      <c r="W223" s="83"/>
      <c r="X223" s="83"/>
      <c r="Y223" s="45"/>
      <c r="Z223" s="5"/>
    </row>
    <row r="224" spans="1:26" ht="9.75" customHeight="1">
      <c r="A224" s="97"/>
      <c r="B224" s="97"/>
      <c r="C224" s="98"/>
      <c r="D224" s="45"/>
      <c r="E224" s="45"/>
      <c r="F224" s="45"/>
      <c r="G224" s="45"/>
      <c r="H224" s="45"/>
      <c r="I224" s="97"/>
      <c r="J224" s="97"/>
      <c r="K224" s="97"/>
      <c r="L224" s="97"/>
      <c r="M224" s="97"/>
      <c r="N224" s="97"/>
      <c r="O224" s="45"/>
      <c r="P224" s="99"/>
      <c r="Q224" s="100"/>
      <c r="R224" s="97"/>
      <c r="S224" s="101"/>
      <c r="T224" s="101"/>
      <c r="U224" s="101"/>
      <c r="V224" s="101"/>
      <c r="W224" s="102"/>
      <c r="X224" s="45"/>
      <c r="Y224" s="45"/>
      <c r="Z224" s="5"/>
    </row>
    <row r="225" spans="1:26" ht="21.75" customHeight="1">
      <c r="A225" s="124" t="s">
        <v>31</v>
      </c>
      <c r="B225" s="106" t="s">
        <v>79</v>
      </c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125" t="s">
        <v>33</v>
      </c>
      <c r="P225" s="33"/>
      <c r="Q225" s="33"/>
      <c r="R225" s="33"/>
      <c r="S225" s="50"/>
      <c r="T225" s="33"/>
      <c r="U225" s="33"/>
      <c r="V225" s="33"/>
      <c r="W225" s="33"/>
      <c r="X225" s="33"/>
      <c r="Y225" s="47"/>
      <c r="Z225" s="5"/>
    </row>
    <row r="226" spans="1:26" ht="20.25" customHeight="1">
      <c r="A226" s="51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125" t="s">
        <v>34</v>
      </c>
      <c r="P226" s="33"/>
      <c r="Q226" s="33"/>
      <c r="R226" s="33"/>
      <c r="S226" s="50">
        <f>SUBTOTAL(109,P230:P235)</f>
        <v>0</v>
      </c>
      <c r="T226" s="33"/>
      <c r="U226" s="33"/>
      <c r="V226" s="33"/>
      <c r="W226" s="33"/>
      <c r="X226" s="33"/>
      <c r="Y226" s="47"/>
      <c r="Z226" s="5"/>
    </row>
    <row r="227" spans="1:26" ht="20.2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126" t="s">
        <v>35</v>
      </c>
      <c r="P227" s="51"/>
      <c r="Q227" s="51"/>
      <c r="R227" s="51"/>
      <c r="S227" s="50">
        <f>S225-S226</f>
        <v>0</v>
      </c>
      <c r="T227" s="33"/>
      <c r="U227" s="33"/>
      <c r="V227" s="33"/>
      <c r="W227" s="33"/>
      <c r="X227" s="33"/>
      <c r="Y227" s="4"/>
      <c r="Z227" s="5"/>
    </row>
    <row r="228" spans="1:26" ht="15.75" customHeight="1">
      <c r="A228" s="127" t="s">
        <v>36</v>
      </c>
      <c r="B228" s="127" t="s">
        <v>37</v>
      </c>
      <c r="C228" s="128" t="s">
        <v>6</v>
      </c>
      <c r="D228" s="129" t="s">
        <v>50</v>
      </c>
      <c r="E228" s="130" t="s">
        <v>38</v>
      </c>
      <c r="F228" s="2"/>
      <c r="G228" s="2"/>
      <c r="H228" s="3"/>
      <c r="I228" s="127" t="s">
        <v>62</v>
      </c>
      <c r="J228" s="127" t="s">
        <v>40</v>
      </c>
      <c r="K228" s="131" t="s">
        <v>41</v>
      </c>
      <c r="L228" s="132" t="s">
        <v>42</v>
      </c>
      <c r="M228" s="132" t="s">
        <v>43</v>
      </c>
      <c r="N228" s="127" t="s">
        <v>44</v>
      </c>
      <c r="O228" s="131" t="s">
        <v>63</v>
      </c>
      <c r="P228" s="131" t="s">
        <v>64</v>
      </c>
      <c r="Q228" s="133" t="s">
        <v>67</v>
      </c>
      <c r="R228" s="2"/>
      <c r="S228" s="2"/>
      <c r="T228" s="2"/>
      <c r="U228" s="2"/>
      <c r="V228" s="3"/>
      <c r="W228" s="134" t="s">
        <v>48</v>
      </c>
      <c r="X228" s="135" t="s">
        <v>49</v>
      </c>
      <c r="Y228" s="4"/>
      <c r="Z228" s="5"/>
    </row>
    <row r="229" spans="1:26" ht="15.75" customHeight="1">
      <c r="A229" s="62"/>
      <c r="B229" s="62"/>
      <c r="C229" s="62"/>
      <c r="D229" s="34"/>
      <c r="E229" s="136" t="s">
        <v>51</v>
      </c>
      <c r="F229" s="136" t="s">
        <v>52</v>
      </c>
      <c r="G229" s="136" t="s">
        <v>53</v>
      </c>
      <c r="H229" s="136" t="s">
        <v>65</v>
      </c>
      <c r="I229" s="62"/>
      <c r="J229" s="62"/>
      <c r="K229" s="62"/>
      <c r="L229" s="62"/>
      <c r="M229" s="62"/>
      <c r="N229" s="62"/>
      <c r="O229" s="62"/>
      <c r="P229" s="62"/>
      <c r="Q229" s="137" t="s">
        <v>55</v>
      </c>
      <c r="R229" s="138" t="s">
        <v>56</v>
      </c>
      <c r="S229" s="138" t="s">
        <v>57</v>
      </c>
      <c r="T229" s="138" t="s">
        <v>58</v>
      </c>
      <c r="U229" s="139" t="s">
        <v>59</v>
      </c>
      <c r="V229" s="140" t="s">
        <v>60</v>
      </c>
      <c r="W229" s="51"/>
      <c r="X229" s="51"/>
      <c r="Y229" s="4"/>
      <c r="Z229" s="5"/>
    </row>
    <row r="230" spans="1:26" ht="15" customHeight="1">
      <c r="A230" s="69"/>
      <c r="B230" s="70"/>
      <c r="C230" s="71"/>
      <c r="D230" s="72"/>
      <c r="E230" s="72"/>
      <c r="F230" s="72"/>
      <c r="G230" s="72"/>
      <c r="H230" s="72"/>
      <c r="I230" s="73"/>
      <c r="J230" s="74"/>
      <c r="K230" s="73"/>
      <c r="L230" s="75"/>
      <c r="M230" s="73"/>
      <c r="N230" s="73" t="str">
        <f>IF(M230&lt;=$A$394,"FINALIZADO","ACTIVO")</f>
        <v>FINALIZADO</v>
      </c>
      <c r="O230" s="74"/>
      <c r="P230" s="76">
        <f>O230*4/1000+O230</f>
        <v>0</v>
      </c>
      <c r="Q230" s="77"/>
      <c r="R230" s="77"/>
      <c r="S230" s="77"/>
      <c r="T230" s="79"/>
      <c r="U230" s="79"/>
      <c r="V230" s="80">
        <f t="shared" ref="V230:V235" si="12">U230*4/1000+U230</f>
        <v>0</v>
      </c>
      <c r="W230" s="81">
        <f>P230-V230-V231-V232</f>
        <v>0</v>
      </c>
      <c r="X230" s="82"/>
      <c r="Y230" s="45"/>
      <c r="Z230" s="5"/>
    </row>
    <row r="231" spans="1:26" ht="15" customHeight="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77"/>
      <c r="R231" s="77"/>
      <c r="S231" s="77"/>
      <c r="T231" s="79"/>
      <c r="U231" s="79"/>
      <c r="V231" s="80">
        <f t="shared" si="12"/>
        <v>0</v>
      </c>
      <c r="W231" s="83"/>
      <c r="X231" s="83"/>
      <c r="Y231" s="45"/>
      <c r="Z231" s="5"/>
    </row>
    <row r="232" spans="1:26" ht="15" customHeight="1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77"/>
      <c r="R232" s="77"/>
      <c r="S232" s="77"/>
      <c r="T232" s="79"/>
      <c r="U232" s="79"/>
      <c r="V232" s="80">
        <f t="shared" si="12"/>
        <v>0</v>
      </c>
      <c r="W232" s="83"/>
      <c r="X232" s="83"/>
      <c r="Y232" s="45"/>
      <c r="Z232" s="5"/>
    </row>
    <row r="233" spans="1:26" ht="15" customHeight="1">
      <c r="A233" s="84"/>
      <c r="B233" s="85"/>
      <c r="C233" s="86"/>
      <c r="D233" s="87"/>
      <c r="E233" s="87"/>
      <c r="F233" s="87"/>
      <c r="G233" s="87"/>
      <c r="H233" s="87"/>
      <c r="I233" s="88"/>
      <c r="J233" s="89"/>
      <c r="K233" s="88"/>
      <c r="L233" s="90"/>
      <c r="M233" s="88"/>
      <c r="N233" s="88" t="str">
        <f>IF(M233&lt;=$A$394,"FINALIZADO","ACTIVO")</f>
        <v>FINALIZADO</v>
      </c>
      <c r="O233" s="89"/>
      <c r="P233" s="91">
        <f>O233*4/1000+O233</f>
        <v>0</v>
      </c>
      <c r="Q233" s="92"/>
      <c r="R233" s="92"/>
      <c r="S233" s="92"/>
      <c r="T233" s="93"/>
      <c r="U233" s="93"/>
      <c r="V233" s="94">
        <f t="shared" si="12"/>
        <v>0</v>
      </c>
      <c r="W233" s="95">
        <f>P233-V233-V234-V235</f>
        <v>0</v>
      </c>
      <c r="X233" s="96"/>
      <c r="Y233" s="45"/>
      <c r="Z233" s="5"/>
    </row>
    <row r="234" spans="1:26" ht="15" customHeight="1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92"/>
      <c r="R234" s="92"/>
      <c r="S234" s="92"/>
      <c r="T234" s="93"/>
      <c r="U234" s="93"/>
      <c r="V234" s="94">
        <f t="shared" si="12"/>
        <v>0</v>
      </c>
      <c r="W234" s="83"/>
      <c r="X234" s="83"/>
      <c r="Y234" s="45"/>
      <c r="Z234" s="5"/>
    </row>
    <row r="235" spans="1:26" ht="15" customHeight="1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92"/>
      <c r="R235" s="92"/>
      <c r="S235" s="92"/>
      <c r="T235" s="93"/>
      <c r="U235" s="93"/>
      <c r="V235" s="94">
        <f t="shared" si="12"/>
        <v>0</v>
      </c>
      <c r="W235" s="83"/>
      <c r="X235" s="83"/>
      <c r="Y235" s="45"/>
      <c r="Z235" s="5"/>
    </row>
    <row r="236" spans="1:26" ht="9.75" customHeight="1">
      <c r="A236" s="97"/>
      <c r="B236" s="97"/>
      <c r="C236" s="98"/>
      <c r="D236" s="45"/>
      <c r="E236" s="45"/>
      <c r="F236" s="45"/>
      <c r="G236" s="45"/>
      <c r="H236" s="45"/>
      <c r="I236" s="97"/>
      <c r="J236" s="97"/>
      <c r="K236" s="97"/>
      <c r="L236" s="97"/>
      <c r="M236" s="97"/>
      <c r="N236" s="97"/>
      <c r="O236" s="45"/>
      <c r="P236" s="99"/>
      <c r="Q236" s="100"/>
      <c r="R236" s="97"/>
      <c r="S236" s="101"/>
      <c r="T236" s="101"/>
      <c r="U236" s="101"/>
      <c r="V236" s="101"/>
      <c r="W236" s="102"/>
      <c r="X236" s="45"/>
      <c r="Y236" s="45"/>
      <c r="Z236" s="5"/>
    </row>
    <row r="237" spans="1:26" ht="21.75" customHeight="1">
      <c r="A237" s="124" t="s">
        <v>31</v>
      </c>
      <c r="B237" s="106" t="s">
        <v>80</v>
      </c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125" t="s">
        <v>33</v>
      </c>
      <c r="P237" s="33"/>
      <c r="Q237" s="33"/>
      <c r="R237" s="33"/>
      <c r="S237" s="50"/>
      <c r="T237" s="33"/>
      <c r="U237" s="33"/>
      <c r="V237" s="33"/>
      <c r="W237" s="33"/>
      <c r="X237" s="33"/>
      <c r="Y237" s="47"/>
      <c r="Z237" s="5"/>
    </row>
    <row r="238" spans="1:26" ht="20.25" customHeight="1">
      <c r="A238" s="51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125" t="s">
        <v>34</v>
      </c>
      <c r="P238" s="33"/>
      <c r="Q238" s="33"/>
      <c r="R238" s="33"/>
      <c r="S238" s="50">
        <f>SUBTOTAL(109,P242:P247)</f>
        <v>0</v>
      </c>
      <c r="T238" s="33"/>
      <c r="U238" s="33"/>
      <c r="V238" s="33"/>
      <c r="W238" s="33"/>
      <c r="X238" s="33"/>
      <c r="Y238" s="47"/>
      <c r="Z238" s="5"/>
    </row>
    <row r="239" spans="1:26" ht="20.2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126" t="s">
        <v>35</v>
      </c>
      <c r="P239" s="51"/>
      <c r="Q239" s="51"/>
      <c r="R239" s="51"/>
      <c r="S239" s="50">
        <f>S237-S238</f>
        <v>0</v>
      </c>
      <c r="T239" s="33"/>
      <c r="U239" s="33"/>
      <c r="V239" s="33"/>
      <c r="W239" s="33"/>
      <c r="X239" s="33"/>
      <c r="Y239" s="4"/>
      <c r="Z239" s="5"/>
    </row>
    <row r="240" spans="1:26" ht="15.75" customHeight="1">
      <c r="A240" s="127" t="s">
        <v>36</v>
      </c>
      <c r="B240" s="127" t="s">
        <v>37</v>
      </c>
      <c r="C240" s="128" t="s">
        <v>6</v>
      </c>
      <c r="D240" s="129" t="s">
        <v>50</v>
      </c>
      <c r="E240" s="130" t="s">
        <v>38</v>
      </c>
      <c r="F240" s="2"/>
      <c r="G240" s="2"/>
      <c r="H240" s="3"/>
      <c r="I240" s="127" t="s">
        <v>62</v>
      </c>
      <c r="J240" s="127" t="s">
        <v>40</v>
      </c>
      <c r="K240" s="131" t="s">
        <v>41</v>
      </c>
      <c r="L240" s="132" t="s">
        <v>42</v>
      </c>
      <c r="M240" s="132" t="s">
        <v>43</v>
      </c>
      <c r="N240" s="127" t="s">
        <v>44</v>
      </c>
      <c r="O240" s="131" t="s">
        <v>63</v>
      </c>
      <c r="P240" s="131" t="s">
        <v>64</v>
      </c>
      <c r="Q240" s="133" t="s">
        <v>67</v>
      </c>
      <c r="R240" s="2"/>
      <c r="S240" s="2"/>
      <c r="T240" s="2"/>
      <c r="U240" s="2"/>
      <c r="V240" s="3"/>
      <c r="W240" s="134" t="s">
        <v>48</v>
      </c>
      <c r="X240" s="135" t="s">
        <v>49</v>
      </c>
      <c r="Y240" s="4"/>
      <c r="Z240" s="5"/>
    </row>
    <row r="241" spans="1:26" ht="15.75" customHeight="1">
      <c r="A241" s="62"/>
      <c r="B241" s="62"/>
      <c r="C241" s="62"/>
      <c r="D241" s="34"/>
      <c r="E241" s="136" t="s">
        <v>51</v>
      </c>
      <c r="F241" s="136" t="s">
        <v>52</v>
      </c>
      <c r="G241" s="136" t="s">
        <v>53</v>
      </c>
      <c r="H241" s="136" t="s">
        <v>65</v>
      </c>
      <c r="I241" s="62"/>
      <c r="J241" s="62"/>
      <c r="K241" s="62"/>
      <c r="L241" s="62"/>
      <c r="M241" s="62"/>
      <c r="N241" s="62"/>
      <c r="O241" s="62"/>
      <c r="P241" s="62"/>
      <c r="Q241" s="137" t="s">
        <v>55</v>
      </c>
      <c r="R241" s="138" t="s">
        <v>56</v>
      </c>
      <c r="S241" s="138" t="s">
        <v>57</v>
      </c>
      <c r="T241" s="138" t="s">
        <v>58</v>
      </c>
      <c r="U241" s="139" t="s">
        <v>59</v>
      </c>
      <c r="V241" s="140" t="s">
        <v>60</v>
      </c>
      <c r="W241" s="51"/>
      <c r="X241" s="51"/>
      <c r="Y241" s="4"/>
      <c r="Z241" s="5"/>
    </row>
    <row r="242" spans="1:26" ht="15" customHeight="1">
      <c r="A242" s="69"/>
      <c r="B242" s="70"/>
      <c r="C242" s="71"/>
      <c r="D242" s="72"/>
      <c r="E242" s="72"/>
      <c r="F242" s="72"/>
      <c r="G242" s="72"/>
      <c r="H242" s="72"/>
      <c r="I242" s="73"/>
      <c r="J242" s="74"/>
      <c r="K242" s="73"/>
      <c r="L242" s="75"/>
      <c r="M242" s="73"/>
      <c r="N242" s="73" t="str">
        <f>IF(M242&lt;=$A$394,"FINALIZADO","ACTIVO")</f>
        <v>FINALIZADO</v>
      </c>
      <c r="O242" s="74"/>
      <c r="P242" s="76">
        <f>O242*4/1000+O242</f>
        <v>0</v>
      </c>
      <c r="Q242" s="77"/>
      <c r="R242" s="77"/>
      <c r="S242" s="77"/>
      <c r="T242" s="79"/>
      <c r="U242" s="79"/>
      <c r="V242" s="80">
        <f t="shared" ref="V242:V247" si="13">U242*4/1000+U242</f>
        <v>0</v>
      </c>
      <c r="W242" s="81">
        <f>P242-V242-V243-V244</f>
        <v>0</v>
      </c>
      <c r="X242" s="82"/>
      <c r="Y242" s="45"/>
      <c r="Z242" s="5"/>
    </row>
    <row r="243" spans="1:26" ht="15" customHeight="1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77"/>
      <c r="R243" s="77"/>
      <c r="S243" s="77"/>
      <c r="T243" s="79"/>
      <c r="U243" s="79"/>
      <c r="V243" s="80">
        <f t="shared" si="13"/>
        <v>0</v>
      </c>
      <c r="W243" s="83"/>
      <c r="X243" s="83"/>
      <c r="Y243" s="45"/>
      <c r="Z243" s="5"/>
    </row>
    <row r="244" spans="1:26" ht="15" customHeight="1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77"/>
      <c r="R244" s="77"/>
      <c r="S244" s="77"/>
      <c r="T244" s="79"/>
      <c r="U244" s="79"/>
      <c r="V244" s="80">
        <f t="shared" si="13"/>
        <v>0</v>
      </c>
      <c r="W244" s="83"/>
      <c r="X244" s="83"/>
      <c r="Y244" s="45"/>
      <c r="Z244" s="5"/>
    </row>
    <row r="245" spans="1:26" ht="15" customHeight="1">
      <c r="A245" s="84"/>
      <c r="B245" s="85"/>
      <c r="C245" s="86"/>
      <c r="D245" s="87"/>
      <c r="E245" s="87"/>
      <c r="F245" s="87"/>
      <c r="G245" s="87"/>
      <c r="H245" s="87"/>
      <c r="I245" s="88"/>
      <c r="J245" s="89"/>
      <c r="K245" s="88"/>
      <c r="L245" s="90"/>
      <c r="M245" s="88"/>
      <c r="N245" s="88" t="str">
        <f>IF(M245&lt;=$A$394,"FINALIZADO","ACTIVO")</f>
        <v>FINALIZADO</v>
      </c>
      <c r="O245" s="89"/>
      <c r="P245" s="91">
        <f>O245*4/1000+O245</f>
        <v>0</v>
      </c>
      <c r="Q245" s="92"/>
      <c r="R245" s="92"/>
      <c r="S245" s="92"/>
      <c r="T245" s="93"/>
      <c r="U245" s="93"/>
      <c r="V245" s="94">
        <f t="shared" si="13"/>
        <v>0</v>
      </c>
      <c r="W245" s="95">
        <f>P245-V245-V246-V247</f>
        <v>0</v>
      </c>
      <c r="X245" s="96"/>
      <c r="Y245" s="45"/>
      <c r="Z245" s="5"/>
    </row>
    <row r="246" spans="1:26" ht="15" customHeight="1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92"/>
      <c r="R246" s="92"/>
      <c r="S246" s="92"/>
      <c r="T246" s="93"/>
      <c r="U246" s="93"/>
      <c r="V246" s="94">
        <f t="shared" si="13"/>
        <v>0</v>
      </c>
      <c r="W246" s="83"/>
      <c r="X246" s="83"/>
      <c r="Y246" s="45"/>
      <c r="Z246" s="5"/>
    </row>
    <row r="247" spans="1:26" ht="15" customHeight="1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92"/>
      <c r="R247" s="92"/>
      <c r="S247" s="92"/>
      <c r="T247" s="93"/>
      <c r="U247" s="93"/>
      <c r="V247" s="94">
        <f t="shared" si="13"/>
        <v>0</v>
      </c>
      <c r="W247" s="83"/>
      <c r="X247" s="83"/>
      <c r="Y247" s="45"/>
      <c r="Z247" s="5"/>
    </row>
    <row r="248" spans="1:26" ht="9.75" customHeight="1">
      <c r="A248" s="97"/>
      <c r="B248" s="97"/>
      <c r="C248" s="98"/>
      <c r="D248" s="45"/>
      <c r="E248" s="45"/>
      <c r="F248" s="45"/>
      <c r="G248" s="45"/>
      <c r="H248" s="45"/>
      <c r="I248" s="97"/>
      <c r="J248" s="97"/>
      <c r="K248" s="97"/>
      <c r="L248" s="97"/>
      <c r="M248" s="97"/>
      <c r="N248" s="97"/>
      <c r="O248" s="45"/>
      <c r="P248" s="99"/>
      <c r="Q248" s="100"/>
      <c r="R248" s="97"/>
      <c r="S248" s="101"/>
      <c r="T248" s="101"/>
      <c r="U248" s="101"/>
      <c r="V248" s="101"/>
      <c r="W248" s="102"/>
      <c r="X248" s="45"/>
      <c r="Y248" s="45"/>
      <c r="Z248" s="5"/>
    </row>
    <row r="249" spans="1:26" ht="21.75" customHeight="1">
      <c r="A249" s="124" t="s">
        <v>31</v>
      </c>
      <c r="B249" s="106" t="s">
        <v>81</v>
      </c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125" t="s">
        <v>33</v>
      </c>
      <c r="P249" s="33"/>
      <c r="Q249" s="33"/>
      <c r="R249" s="33"/>
      <c r="S249" s="50"/>
      <c r="T249" s="33"/>
      <c r="U249" s="33"/>
      <c r="V249" s="33"/>
      <c r="W249" s="33"/>
      <c r="X249" s="33"/>
      <c r="Y249" s="47"/>
      <c r="Z249" s="5"/>
    </row>
    <row r="250" spans="1:26" ht="20.25" customHeight="1">
      <c r="A250" s="51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125" t="s">
        <v>34</v>
      </c>
      <c r="P250" s="33"/>
      <c r="Q250" s="33"/>
      <c r="R250" s="33"/>
      <c r="S250" s="50">
        <f>SUBTOTAL(109,P254:P259)</f>
        <v>0</v>
      </c>
      <c r="T250" s="33"/>
      <c r="U250" s="33"/>
      <c r="V250" s="33"/>
      <c r="W250" s="33"/>
      <c r="X250" s="33"/>
      <c r="Y250" s="47"/>
      <c r="Z250" s="5"/>
    </row>
    <row r="251" spans="1:26" ht="20.2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126" t="s">
        <v>35</v>
      </c>
      <c r="P251" s="51"/>
      <c r="Q251" s="51"/>
      <c r="R251" s="51"/>
      <c r="S251" s="50">
        <f>S249-S250</f>
        <v>0</v>
      </c>
      <c r="T251" s="33"/>
      <c r="U251" s="33"/>
      <c r="V251" s="33"/>
      <c r="W251" s="33"/>
      <c r="X251" s="33"/>
      <c r="Y251" s="4"/>
      <c r="Z251" s="5"/>
    </row>
    <row r="252" spans="1:26" ht="15.75" customHeight="1">
      <c r="A252" s="127" t="s">
        <v>36</v>
      </c>
      <c r="B252" s="127" t="s">
        <v>37</v>
      </c>
      <c r="C252" s="128" t="s">
        <v>6</v>
      </c>
      <c r="D252" s="129" t="s">
        <v>50</v>
      </c>
      <c r="E252" s="130" t="s">
        <v>38</v>
      </c>
      <c r="F252" s="2"/>
      <c r="G252" s="2"/>
      <c r="H252" s="3"/>
      <c r="I252" s="127" t="s">
        <v>62</v>
      </c>
      <c r="J252" s="127" t="s">
        <v>40</v>
      </c>
      <c r="K252" s="131" t="s">
        <v>41</v>
      </c>
      <c r="L252" s="132" t="s">
        <v>42</v>
      </c>
      <c r="M252" s="132" t="s">
        <v>43</v>
      </c>
      <c r="N252" s="127" t="s">
        <v>44</v>
      </c>
      <c r="O252" s="131" t="s">
        <v>63</v>
      </c>
      <c r="P252" s="131" t="s">
        <v>64</v>
      </c>
      <c r="Q252" s="133" t="s">
        <v>67</v>
      </c>
      <c r="R252" s="2"/>
      <c r="S252" s="2"/>
      <c r="T252" s="2"/>
      <c r="U252" s="2"/>
      <c r="V252" s="3"/>
      <c r="W252" s="134" t="s">
        <v>48</v>
      </c>
      <c r="X252" s="135" t="s">
        <v>49</v>
      </c>
      <c r="Y252" s="4"/>
      <c r="Z252" s="5"/>
    </row>
    <row r="253" spans="1:26" ht="15.75" customHeight="1">
      <c r="A253" s="62"/>
      <c r="B253" s="62"/>
      <c r="C253" s="62"/>
      <c r="D253" s="34"/>
      <c r="E253" s="136" t="s">
        <v>51</v>
      </c>
      <c r="F253" s="136" t="s">
        <v>52</v>
      </c>
      <c r="G253" s="136" t="s">
        <v>53</v>
      </c>
      <c r="H253" s="136" t="s">
        <v>65</v>
      </c>
      <c r="I253" s="62"/>
      <c r="J253" s="62"/>
      <c r="K253" s="62"/>
      <c r="L253" s="62"/>
      <c r="M253" s="62"/>
      <c r="N253" s="62"/>
      <c r="O253" s="62"/>
      <c r="P253" s="62"/>
      <c r="Q253" s="137" t="s">
        <v>55</v>
      </c>
      <c r="R253" s="138" t="s">
        <v>56</v>
      </c>
      <c r="S253" s="138" t="s">
        <v>57</v>
      </c>
      <c r="T253" s="138" t="s">
        <v>58</v>
      </c>
      <c r="U253" s="139" t="s">
        <v>59</v>
      </c>
      <c r="V253" s="140" t="s">
        <v>60</v>
      </c>
      <c r="W253" s="51"/>
      <c r="X253" s="51"/>
      <c r="Y253" s="4"/>
      <c r="Z253" s="5"/>
    </row>
    <row r="254" spans="1:26" ht="15" customHeight="1">
      <c r="A254" s="69"/>
      <c r="B254" s="70"/>
      <c r="C254" s="71"/>
      <c r="D254" s="72"/>
      <c r="E254" s="72"/>
      <c r="F254" s="72"/>
      <c r="G254" s="72"/>
      <c r="H254" s="72"/>
      <c r="I254" s="73"/>
      <c r="J254" s="74"/>
      <c r="K254" s="73"/>
      <c r="L254" s="75"/>
      <c r="M254" s="73"/>
      <c r="N254" s="73" t="str">
        <f>IF(M254&lt;=$A$394,"FINALIZADO","ACTIVO")</f>
        <v>FINALIZADO</v>
      </c>
      <c r="O254" s="74"/>
      <c r="P254" s="76">
        <f>O254*4/1000+O254</f>
        <v>0</v>
      </c>
      <c r="Q254" s="77"/>
      <c r="R254" s="77"/>
      <c r="S254" s="77"/>
      <c r="T254" s="79"/>
      <c r="U254" s="79"/>
      <c r="V254" s="80">
        <f t="shared" ref="V254:V259" si="14">U254*4/1000+U254</f>
        <v>0</v>
      </c>
      <c r="W254" s="81">
        <f>P254-V254-V255-V256</f>
        <v>0</v>
      </c>
      <c r="X254" s="82"/>
      <c r="Y254" s="45"/>
      <c r="Z254" s="5"/>
    </row>
    <row r="255" spans="1:26" ht="15" customHeight="1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77"/>
      <c r="R255" s="77"/>
      <c r="S255" s="77"/>
      <c r="T255" s="79"/>
      <c r="U255" s="79"/>
      <c r="V255" s="80">
        <f t="shared" si="14"/>
        <v>0</v>
      </c>
      <c r="W255" s="83"/>
      <c r="X255" s="83"/>
      <c r="Y255" s="45"/>
      <c r="Z255" s="5"/>
    </row>
    <row r="256" spans="1:26" ht="15" customHeight="1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77"/>
      <c r="R256" s="77"/>
      <c r="S256" s="77"/>
      <c r="T256" s="79"/>
      <c r="U256" s="79"/>
      <c r="V256" s="80">
        <f t="shared" si="14"/>
        <v>0</v>
      </c>
      <c r="W256" s="83"/>
      <c r="X256" s="83"/>
      <c r="Y256" s="45"/>
      <c r="Z256" s="5"/>
    </row>
    <row r="257" spans="1:26" ht="15" customHeight="1">
      <c r="A257" s="84"/>
      <c r="B257" s="85"/>
      <c r="C257" s="86"/>
      <c r="D257" s="87"/>
      <c r="E257" s="87"/>
      <c r="F257" s="87"/>
      <c r="G257" s="87"/>
      <c r="H257" s="87"/>
      <c r="I257" s="88"/>
      <c r="J257" s="89"/>
      <c r="K257" s="88"/>
      <c r="L257" s="90"/>
      <c r="M257" s="88"/>
      <c r="N257" s="88" t="str">
        <f>IF(M257&lt;=$A$394,"FINALIZADO","ACTIVO")</f>
        <v>FINALIZADO</v>
      </c>
      <c r="O257" s="89"/>
      <c r="P257" s="91">
        <f>O257*4/1000+O257</f>
        <v>0</v>
      </c>
      <c r="Q257" s="92"/>
      <c r="R257" s="92"/>
      <c r="S257" s="92"/>
      <c r="T257" s="93"/>
      <c r="U257" s="93"/>
      <c r="V257" s="94">
        <f t="shared" si="14"/>
        <v>0</v>
      </c>
      <c r="W257" s="95">
        <f>P257-V257-V258-V259</f>
        <v>0</v>
      </c>
      <c r="X257" s="96"/>
      <c r="Y257" s="45"/>
      <c r="Z257" s="5"/>
    </row>
    <row r="258" spans="1:26" ht="15" customHeight="1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92"/>
      <c r="R258" s="92"/>
      <c r="S258" s="92"/>
      <c r="T258" s="93"/>
      <c r="U258" s="93"/>
      <c r="V258" s="94">
        <f t="shared" si="14"/>
        <v>0</v>
      </c>
      <c r="W258" s="83"/>
      <c r="X258" s="83"/>
      <c r="Y258" s="45"/>
      <c r="Z258" s="5"/>
    </row>
    <row r="259" spans="1:26" ht="15" customHeight="1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92"/>
      <c r="R259" s="92"/>
      <c r="S259" s="92"/>
      <c r="T259" s="93"/>
      <c r="U259" s="93"/>
      <c r="V259" s="94">
        <f t="shared" si="14"/>
        <v>0</v>
      </c>
      <c r="W259" s="83"/>
      <c r="X259" s="83"/>
      <c r="Y259" s="45"/>
      <c r="Z259" s="5"/>
    </row>
    <row r="260" spans="1:26" ht="9.75" customHeight="1">
      <c r="A260" s="97"/>
      <c r="B260" s="97"/>
      <c r="C260" s="98"/>
      <c r="D260" s="45"/>
      <c r="E260" s="45"/>
      <c r="F260" s="45"/>
      <c r="G260" s="45"/>
      <c r="H260" s="45"/>
      <c r="I260" s="97"/>
      <c r="J260" s="97"/>
      <c r="K260" s="97"/>
      <c r="L260" s="97"/>
      <c r="M260" s="97"/>
      <c r="N260" s="97"/>
      <c r="O260" s="45"/>
      <c r="P260" s="99"/>
      <c r="Q260" s="100"/>
      <c r="R260" s="97"/>
      <c r="S260" s="101"/>
      <c r="T260" s="101"/>
      <c r="U260" s="101"/>
      <c r="V260" s="101"/>
      <c r="W260" s="102"/>
      <c r="X260" s="45"/>
      <c r="Y260" s="45"/>
      <c r="Z260" s="5"/>
    </row>
    <row r="261" spans="1:26" ht="21.75" customHeight="1">
      <c r="A261" s="124" t="s">
        <v>31</v>
      </c>
      <c r="B261" s="106" t="s">
        <v>82</v>
      </c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125" t="s">
        <v>33</v>
      </c>
      <c r="P261" s="33"/>
      <c r="Q261" s="33"/>
      <c r="R261" s="33"/>
      <c r="S261" s="50"/>
      <c r="T261" s="33"/>
      <c r="U261" s="33"/>
      <c r="V261" s="33"/>
      <c r="W261" s="33"/>
      <c r="X261" s="33"/>
      <c r="Y261" s="47"/>
      <c r="Z261" s="5"/>
    </row>
    <row r="262" spans="1:26" ht="20.25" customHeight="1">
      <c r="A262" s="51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125" t="s">
        <v>34</v>
      </c>
      <c r="P262" s="33"/>
      <c r="Q262" s="33"/>
      <c r="R262" s="33"/>
      <c r="S262" s="50">
        <f>SUBTOTAL(109,P266:P271)</f>
        <v>0</v>
      </c>
      <c r="T262" s="33"/>
      <c r="U262" s="33"/>
      <c r="V262" s="33"/>
      <c r="W262" s="33"/>
      <c r="X262" s="33"/>
      <c r="Y262" s="47"/>
      <c r="Z262" s="5"/>
    </row>
    <row r="263" spans="1:26" ht="20.2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126" t="s">
        <v>35</v>
      </c>
      <c r="P263" s="51"/>
      <c r="Q263" s="51"/>
      <c r="R263" s="51"/>
      <c r="S263" s="50">
        <f>S261-S262</f>
        <v>0</v>
      </c>
      <c r="T263" s="33"/>
      <c r="U263" s="33"/>
      <c r="V263" s="33"/>
      <c r="W263" s="33"/>
      <c r="X263" s="33"/>
      <c r="Y263" s="4"/>
      <c r="Z263" s="5"/>
    </row>
    <row r="264" spans="1:26" ht="15.75" customHeight="1">
      <c r="A264" s="127" t="s">
        <v>36</v>
      </c>
      <c r="B264" s="127" t="s">
        <v>37</v>
      </c>
      <c r="C264" s="128" t="s">
        <v>6</v>
      </c>
      <c r="D264" s="129" t="s">
        <v>50</v>
      </c>
      <c r="E264" s="130" t="s">
        <v>38</v>
      </c>
      <c r="F264" s="2"/>
      <c r="G264" s="2"/>
      <c r="H264" s="3"/>
      <c r="I264" s="127" t="s">
        <v>62</v>
      </c>
      <c r="J264" s="127" t="s">
        <v>40</v>
      </c>
      <c r="K264" s="131" t="s">
        <v>41</v>
      </c>
      <c r="L264" s="132" t="s">
        <v>42</v>
      </c>
      <c r="M264" s="132" t="s">
        <v>43</v>
      </c>
      <c r="N264" s="127" t="s">
        <v>44</v>
      </c>
      <c r="O264" s="131" t="s">
        <v>63</v>
      </c>
      <c r="P264" s="131" t="s">
        <v>64</v>
      </c>
      <c r="Q264" s="133" t="s">
        <v>67</v>
      </c>
      <c r="R264" s="2"/>
      <c r="S264" s="2"/>
      <c r="T264" s="2"/>
      <c r="U264" s="2"/>
      <c r="V264" s="3"/>
      <c r="W264" s="134" t="s">
        <v>48</v>
      </c>
      <c r="X264" s="135" t="s">
        <v>49</v>
      </c>
      <c r="Y264" s="4"/>
      <c r="Z264" s="5"/>
    </row>
    <row r="265" spans="1:26" ht="15.75" customHeight="1">
      <c r="A265" s="62"/>
      <c r="B265" s="62"/>
      <c r="C265" s="62"/>
      <c r="D265" s="34"/>
      <c r="E265" s="136" t="s">
        <v>51</v>
      </c>
      <c r="F265" s="136" t="s">
        <v>52</v>
      </c>
      <c r="G265" s="136" t="s">
        <v>53</v>
      </c>
      <c r="H265" s="136" t="s">
        <v>65</v>
      </c>
      <c r="I265" s="62"/>
      <c r="J265" s="62"/>
      <c r="K265" s="62"/>
      <c r="L265" s="62"/>
      <c r="M265" s="62"/>
      <c r="N265" s="62"/>
      <c r="O265" s="62"/>
      <c r="P265" s="62"/>
      <c r="Q265" s="137" t="s">
        <v>55</v>
      </c>
      <c r="R265" s="138" t="s">
        <v>56</v>
      </c>
      <c r="S265" s="138" t="s">
        <v>57</v>
      </c>
      <c r="T265" s="138" t="s">
        <v>58</v>
      </c>
      <c r="U265" s="139" t="s">
        <v>59</v>
      </c>
      <c r="V265" s="140" t="s">
        <v>60</v>
      </c>
      <c r="W265" s="51"/>
      <c r="X265" s="51"/>
      <c r="Y265" s="4"/>
      <c r="Z265" s="5"/>
    </row>
    <row r="266" spans="1:26" ht="15" customHeight="1">
      <c r="A266" s="69"/>
      <c r="B266" s="70"/>
      <c r="C266" s="71"/>
      <c r="D266" s="72"/>
      <c r="E266" s="72"/>
      <c r="F266" s="72"/>
      <c r="G266" s="72"/>
      <c r="H266" s="72"/>
      <c r="I266" s="73"/>
      <c r="J266" s="74"/>
      <c r="K266" s="73"/>
      <c r="L266" s="75"/>
      <c r="M266" s="73"/>
      <c r="N266" s="73" t="str">
        <f>IF(M266&lt;=$A$394,"FINALIZADO","ACTIVO")</f>
        <v>FINALIZADO</v>
      </c>
      <c r="O266" s="74"/>
      <c r="P266" s="76">
        <f>O266*4/1000+O266</f>
        <v>0</v>
      </c>
      <c r="Q266" s="77"/>
      <c r="R266" s="77"/>
      <c r="S266" s="77"/>
      <c r="T266" s="79"/>
      <c r="U266" s="79"/>
      <c r="V266" s="80">
        <f t="shared" ref="V266:V271" si="15">U266*4/1000+U266</f>
        <v>0</v>
      </c>
      <c r="W266" s="81">
        <f>P266-V266-V267-V268</f>
        <v>0</v>
      </c>
      <c r="X266" s="82"/>
      <c r="Y266" s="45"/>
      <c r="Z266" s="5"/>
    </row>
    <row r="267" spans="1:26" ht="15" customHeight="1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77"/>
      <c r="R267" s="77"/>
      <c r="S267" s="77"/>
      <c r="T267" s="79"/>
      <c r="U267" s="79"/>
      <c r="V267" s="80">
        <f t="shared" si="15"/>
        <v>0</v>
      </c>
      <c r="W267" s="83"/>
      <c r="X267" s="83"/>
      <c r="Y267" s="45"/>
      <c r="Z267" s="5"/>
    </row>
    <row r="268" spans="1:26" ht="15" customHeight="1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77"/>
      <c r="R268" s="77"/>
      <c r="S268" s="77"/>
      <c r="T268" s="79"/>
      <c r="U268" s="79"/>
      <c r="V268" s="80">
        <f t="shared" si="15"/>
        <v>0</v>
      </c>
      <c r="W268" s="83"/>
      <c r="X268" s="83"/>
      <c r="Y268" s="45"/>
      <c r="Z268" s="5"/>
    </row>
    <row r="269" spans="1:26" ht="15" customHeight="1">
      <c r="A269" s="84"/>
      <c r="B269" s="85"/>
      <c r="C269" s="86"/>
      <c r="D269" s="87"/>
      <c r="E269" s="87"/>
      <c r="F269" s="87"/>
      <c r="G269" s="87"/>
      <c r="H269" s="87"/>
      <c r="I269" s="88"/>
      <c r="J269" s="89"/>
      <c r="K269" s="88"/>
      <c r="L269" s="90"/>
      <c r="M269" s="88"/>
      <c r="N269" s="88" t="str">
        <f>IF(M269&lt;=$A$394,"FINALIZADO","ACTIVO")</f>
        <v>FINALIZADO</v>
      </c>
      <c r="O269" s="89"/>
      <c r="P269" s="91">
        <f>O269*4/1000+O269</f>
        <v>0</v>
      </c>
      <c r="Q269" s="92"/>
      <c r="R269" s="92"/>
      <c r="S269" s="92"/>
      <c r="T269" s="93"/>
      <c r="U269" s="93"/>
      <c r="V269" s="94">
        <f t="shared" si="15"/>
        <v>0</v>
      </c>
      <c r="W269" s="95">
        <f>P269-V269-V270-V271</f>
        <v>0</v>
      </c>
      <c r="X269" s="96"/>
      <c r="Y269" s="45"/>
      <c r="Z269" s="5"/>
    </row>
    <row r="270" spans="1:26" ht="15" customHeight="1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92"/>
      <c r="R270" s="92"/>
      <c r="S270" s="92"/>
      <c r="T270" s="93"/>
      <c r="U270" s="93"/>
      <c r="V270" s="94">
        <f t="shared" si="15"/>
        <v>0</v>
      </c>
      <c r="W270" s="83"/>
      <c r="X270" s="83"/>
      <c r="Y270" s="45"/>
      <c r="Z270" s="5"/>
    </row>
    <row r="271" spans="1:26" ht="15" customHeight="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92"/>
      <c r="R271" s="92"/>
      <c r="S271" s="92"/>
      <c r="T271" s="93"/>
      <c r="U271" s="93"/>
      <c r="V271" s="94">
        <f t="shared" si="15"/>
        <v>0</v>
      </c>
      <c r="W271" s="83"/>
      <c r="X271" s="83"/>
      <c r="Y271" s="45"/>
      <c r="Z271" s="5"/>
    </row>
    <row r="272" spans="1:26" ht="9.75" customHeight="1">
      <c r="A272" s="97"/>
      <c r="B272" s="97"/>
      <c r="C272" s="98"/>
      <c r="D272" s="45"/>
      <c r="E272" s="45"/>
      <c r="F272" s="45"/>
      <c r="G272" s="45"/>
      <c r="H272" s="45"/>
      <c r="I272" s="97"/>
      <c r="J272" s="97"/>
      <c r="K272" s="97"/>
      <c r="L272" s="97"/>
      <c r="M272" s="97"/>
      <c r="N272" s="97"/>
      <c r="O272" s="45"/>
      <c r="P272" s="99"/>
      <c r="Q272" s="100"/>
      <c r="R272" s="97"/>
      <c r="S272" s="101"/>
      <c r="T272" s="101"/>
      <c r="U272" s="101"/>
      <c r="V272" s="101"/>
      <c r="W272" s="102"/>
      <c r="X272" s="45"/>
      <c r="Y272" s="45"/>
      <c r="Z272" s="5"/>
    </row>
    <row r="273" spans="1:26" ht="21.75" customHeight="1">
      <c r="A273" s="124" t="s">
        <v>31</v>
      </c>
      <c r="B273" s="106" t="s">
        <v>83</v>
      </c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125" t="s">
        <v>33</v>
      </c>
      <c r="P273" s="33"/>
      <c r="Q273" s="33"/>
      <c r="R273" s="33"/>
      <c r="S273" s="50"/>
      <c r="T273" s="33"/>
      <c r="U273" s="33"/>
      <c r="V273" s="33"/>
      <c r="W273" s="33"/>
      <c r="X273" s="33"/>
      <c r="Y273" s="47"/>
      <c r="Z273" s="5"/>
    </row>
    <row r="274" spans="1:26" ht="20.25" customHeight="1">
      <c r="A274" s="51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125" t="s">
        <v>34</v>
      </c>
      <c r="P274" s="33"/>
      <c r="Q274" s="33"/>
      <c r="R274" s="33"/>
      <c r="S274" s="50">
        <f>SUBTOTAL(109,P278:P283)</f>
        <v>0</v>
      </c>
      <c r="T274" s="33"/>
      <c r="U274" s="33"/>
      <c r="V274" s="33"/>
      <c r="W274" s="33"/>
      <c r="X274" s="33"/>
      <c r="Y274" s="47"/>
      <c r="Z274" s="5"/>
    </row>
    <row r="275" spans="1:26" ht="20.2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126" t="s">
        <v>35</v>
      </c>
      <c r="P275" s="51"/>
      <c r="Q275" s="51"/>
      <c r="R275" s="51"/>
      <c r="S275" s="50">
        <f>S273-S274</f>
        <v>0</v>
      </c>
      <c r="T275" s="33"/>
      <c r="U275" s="33"/>
      <c r="V275" s="33"/>
      <c r="W275" s="33"/>
      <c r="X275" s="33"/>
      <c r="Y275" s="4"/>
      <c r="Z275" s="5"/>
    </row>
    <row r="276" spans="1:26" ht="15.75" customHeight="1">
      <c r="A276" s="127" t="s">
        <v>36</v>
      </c>
      <c r="B276" s="127" t="s">
        <v>37</v>
      </c>
      <c r="C276" s="128" t="s">
        <v>6</v>
      </c>
      <c r="D276" s="129" t="s">
        <v>50</v>
      </c>
      <c r="E276" s="130" t="s">
        <v>38</v>
      </c>
      <c r="F276" s="2"/>
      <c r="G276" s="2"/>
      <c r="H276" s="3"/>
      <c r="I276" s="127" t="s">
        <v>62</v>
      </c>
      <c r="J276" s="127" t="s">
        <v>40</v>
      </c>
      <c r="K276" s="131" t="s">
        <v>41</v>
      </c>
      <c r="L276" s="132" t="s">
        <v>42</v>
      </c>
      <c r="M276" s="132" t="s">
        <v>43</v>
      </c>
      <c r="N276" s="127" t="s">
        <v>44</v>
      </c>
      <c r="O276" s="131" t="s">
        <v>63</v>
      </c>
      <c r="P276" s="131" t="s">
        <v>64</v>
      </c>
      <c r="Q276" s="133" t="s">
        <v>67</v>
      </c>
      <c r="R276" s="2"/>
      <c r="S276" s="2"/>
      <c r="T276" s="2"/>
      <c r="U276" s="2"/>
      <c r="V276" s="3"/>
      <c r="W276" s="134" t="s">
        <v>48</v>
      </c>
      <c r="X276" s="135" t="s">
        <v>49</v>
      </c>
      <c r="Y276" s="4"/>
      <c r="Z276" s="5"/>
    </row>
    <row r="277" spans="1:26" ht="15.75" customHeight="1">
      <c r="A277" s="62"/>
      <c r="B277" s="62"/>
      <c r="C277" s="62"/>
      <c r="D277" s="34"/>
      <c r="E277" s="136" t="s">
        <v>51</v>
      </c>
      <c r="F277" s="136" t="s">
        <v>52</v>
      </c>
      <c r="G277" s="136" t="s">
        <v>53</v>
      </c>
      <c r="H277" s="136" t="s">
        <v>65</v>
      </c>
      <c r="I277" s="62"/>
      <c r="J277" s="62"/>
      <c r="K277" s="62"/>
      <c r="L277" s="62"/>
      <c r="M277" s="62"/>
      <c r="N277" s="62"/>
      <c r="O277" s="62"/>
      <c r="P277" s="62"/>
      <c r="Q277" s="137" t="s">
        <v>55</v>
      </c>
      <c r="R277" s="138" t="s">
        <v>56</v>
      </c>
      <c r="S277" s="138" t="s">
        <v>57</v>
      </c>
      <c r="T277" s="138" t="s">
        <v>58</v>
      </c>
      <c r="U277" s="139" t="s">
        <v>59</v>
      </c>
      <c r="V277" s="140" t="s">
        <v>60</v>
      </c>
      <c r="W277" s="51"/>
      <c r="X277" s="51"/>
      <c r="Y277" s="4"/>
      <c r="Z277" s="5"/>
    </row>
    <row r="278" spans="1:26" ht="15" customHeight="1">
      <c r="A278" s="69"/>
      <c r="B278" s="70"/>
      <c r="C278" s="71"/>
      <c r="D278" s="72"/>
      <c r="E278" s="72"/>
      <c r="F278" s="72"/>
      <c r="G278" s="72"/>
      <c r="H278" s="72"/>
      <c r="I278" s="73"/>
      <c r="J278" s="74"/>
      <c r="K278" s="73"/>
      <c r="L278" s="75"/>
      <c r="M278" s="73"/>
      <c r="N278" s="73" t="str">
        <f>IF(M278&lt;=$A$394,"FINALIZADO","ACTIVO")</f>
        <v>FINALIZADO</v>
      </c>
      <c r="O278" s="74"/>
      <c r="P278" s="76">
        <f>O278*4/1000+O278</f>
        <v>0</v>
      </c>
      <c r="Q278" s="77"/>
      <c r="R278" s="77"/>
      <c r="S278" s="77"/>
      <c r="T278" s="79"/>
      <c r="U278" s="79"/>
      <c r="V278" s="80">
        <f t="shared" ref="V278:V283" si="16">U278*4/1000+U278</f>
        <v>0</v>
      </c>
      <c r="W278" s="81">
        <f>P278-V278-V279-V280</f>
        <v>0</v>
      </c>
      <c r="X278" s="82"/>
      <c r="Y278" s="45"/>
      <c r="Z278" s="5"/>
    </row>
    <row r="279" spans="1:26" ht="15" customHeight="1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77"/>
      <c r="R279" s="77"/>
      <c r="S279" s="77"/>
      <c r="T279" s="79"/>
      <c r="U279" s="79"/>
      <c r="V279" s="80">
        <f t="shared" si="16"/>
        <v>0</v>
      </c>
      <c r="W279" s="83"/>
      <c r="X279" s="83"/>
      <c r="Y279" s="45"/>
      <c r="Z279" s="5"/>
    </row>
    <row r="280" spans="1:26" ht="15" customHeight="1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77"/>
      <c r="R280" s="77"/>
      <c r="S280" s="77"/>
      <c r="T280" s="79"/>
      <c r="U280" s="79"/>
      <c r="V280" s="80">
        <f t="shared" si="16"/>
        <v>0</v>
      </c>
      <c r="W280" s="83"/>
      <c r="X280" s="83"/>
      <c r="Y280" s="45"/>
      <c r="Z280" s="5"/>
    </row>
    <row r="281" spans="1:26" ht="15" customHeight="1">
      <c r="A281" s="84"/>
      <c r="B281" s="85"/>
      <c r="C281" s="86"/>
      <c r="D281" s="87"/>
      <c r="E281" s="87"/>
      <c r="F281" s="87"/>
      <c r="G281" s="87"/>
      <c r="H281" s="87"/>
      <c r="I281" s="88"/>
      <c r="J281" s="89"/>
      <c r="K281" s="88"/>
      <c r="L281" s="90"/>
      <c r="M281" s="88"/>
      <c r="N281" s="88" t="str">
        <f>IF(M281&lt;=$A$394,"FINALIZADO","ACTIVO")</f>
        <v>FINALIZADO</v>
      </c>
      <c r="O281" s="89"/>
      <c r="P281" s="91">
        <f>O281*4/1000+O281</f>
        <v>0</v>
      </c>
      <c r="Q281" s="92"/>
      <c r="R281" s="92"/>
      <c r="S281" s="92"/>
      <c r="T281" s="93"/>
      <c r="U281" s="93"/>
      <c r="V281" s="94">
        <f t="shared" si="16"/>
        <v>0</v>
      </c>
      <c r="W281" s="95">
        <f>P281-V281-V282-V283</f>
        <v>0</v>
      </c>
      <c r="X281" s="96"/>
      <c r="Y281" s="45"/>
      <c r="Z281" s="5"/>
    </row>
    <row r="282" spans="1:26" ht="15" customHeight="1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92"/>
      <c r="R282" s="92"/>
      <c r="S282" s="92"/>
      <c r="T282" s="93"/>
      <c r="U282" s="93"/>
      <c r="V282" s="94">
        <f t="shared" si="16"/>
        <v>0</v>
      </c>
      <c r="W282" s="83"/>
      <c r="X282" s="83"/>
      <c r="Y282" s="45"/>
      <c r="Z282" s="5"/>
    </row>
    <row r="283" spans="1:26" ht="15" customHeight="1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92"/>
      <c r="R283" s="92"/>
      <c r="S283" s="92"/>
      <c r="T283" s="93"/>
      <c r="U283" s="93"/>
      <c r="V283" s="94">
        <f t="shared" si="16"/>
        <v>0</v>
      </c>
      <c r="W283" s="83"/>
      <c r="X283" s="83"/>
      <c r="Y283" s="45"/>
      <c r="Z283" s="5"/>
    </row>
    <row r="284" spans="1:26" ht="9.75" customHeight="1">
      <c r="A284" s="97"/>
      <c r="B284" s="97"/>
      <c r="C284" s="98"/>
      <c r="D284" s="45"/>
      <c r="E284" s="45"/>
      <c r="F284" s="45"/>
      <c r="G284" s="45"/>
      <c r="H284" s="45"/>
      <c r="I284" s="97"/>
      <c r="J284" s="97"/>
      <c r="K284" s="97"/>
      <c r="L284" s="97"/>
      <c r="M284" s="97"/>
      <c r="N284" s="97"/>
      <c r="O284" s="45"/>
      <c r="P284" s="99"/>
      <c r="Q284" s="100"/>
      <c r="R284" s="97"/>
      <c r="S284" s="101"/>
      <c r="T284" s="101"/>
      <c r="U284" s="101"/>
      <c r="V284" s="101"/>
      <c r="W284" s="102"/>
      <c r="X284" s="45"/>
      <c r="Y284" s="45"/>
      <c r="Z284" s="5"/>
    </row>
    <row r="285" spans="1:26" ht="21.75" customHeight="1">
      <c r="A285" s="124" t="s">
        <v>31</v>
      </c>
      <c r="B285" s="106" t="s">
        <v>84</v>
      </c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125" t="s">
        <v>33</v>
      </c>
      <c r="P285" s="33"/>
      <c r="Q285" s="33"/>
      <c r="R285" s="33"/>
      <c r="S285" s="50"/>
      <c r="T285" s="33"/>
      <c r="U285" s="33"/>
      <c r="V285" s="33"/>
      <c r="W285" s="33"/>
      <c r="X285" s="33"/>
      <c r="Y285" s="47"/>
      <c r="Z285" s="5"/>
    </row>
    <row r="286" spans="1:26" ht="20.25" customHeight="1">
      <c r="A286" s="51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125" t="s">
        <v>34</v>
      </c>
      <c r="P286" s="33"/>
      <c r="Q286" s="33"/>
      <c r="R286" s="33"/>
      <c r="S286" s="50">
        <f>SUBTOTAL(109,P290:P295)</f>
        <v>0</v>
      </c>
      <c r="T286" s="33"/>
      <c r="U286" s="33"/>
      <c r="V286" s="33"/>
      <c r="W286" s="33"/>
      <c r="X286" s="33"/>
      <c r="Y286" s="47"/>
      <c r="Z286" s="5"/>
    </row>
    <row r="287" spans="1:26" ht="20.2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126" t="s">
        <v>35</v>
      </c>
      <c r="P287" s="51"/>
      <c r="Q287" s="51"/>
      <c r="R287" s="51"/>
      <c r="S287" s="50">
        <f>S285-S286</f>
        <v>0</v>
      </c>
      <c r="T287" s="33"/>
      <c r="U287" s="33"/>
      <c r="V287" s="33"/>
      <c r="W287" s="33"/>
      <c r="X287" s="33"/>
      <c r="Y287" s="4"/>
      <c r="Z287" s="5"/>
    </row>
    <row r="288" spans="1:26" ht="15.75" customHeight="1">
      <c r="A288" s="127" t="s">
        <v>36</v>
      </c>
      <c r="B288" s="127" t="s">
        <v>37</v>
      </c>
      <c r="C288" s="128" t="s">
        <v>6</v>
      </c>
      <c r="D288" s="129" t="s">
        <v>50</v>
      </c>
      <c r="E288" s="130" t="s">
        <v>38</v>
      </c>
      <c r="F288" s="2"/>
      <c r="G288" s="2"/>
      <c r="H288" s="3"/>
      <c r="I288" s="127" t="s">
        <v>62</v>
      </c>
      <c r="J288" s="127" t="s">
        <v>40</v>
      </c>
      <c r="K288" s="131" t="s">
        <v>41</v>
      </c>
      <c r="L288" s="132" t="s">
        <v>42</v>
      </c>
      <c r="M288" s="132" t="s">
        <v>43</v>
      </c>
      <c r="N288" s="127" t="s">
        <v>44</v>
      </c>
      <c r="O288" s="131" t="s">
        <v>63</v>
      </c>
      <c r="P288" s="131" t="s">
        <v>64</v>
      </c>
      <c r="Q288" s="133" t="s">
        <v>67</v>
      </c>
      <c r="R288" s="2"/>
      <c r="S288" s="2"/>
      <c r="T288" s="2"/>
      <c r="U288" s="2"/>
      <c r="V288" s="3"/>
      <c r="W288" s="134" t="s">
        <v>48</v>
      </c>
      <c r="X288" s="135" t="s">
        <v>49</v>
      </c>
      <c r="Y288" s="4"/>
      <c r="Z288" s="5"/>
    </row>
    <row r="289" spans="1:26" ht="15.75" customHeight="1">
      <c r="A289" s="62"/>
      <c r="B289" s="62"/>
      <c r="C289" s="62"/>
      <c r="D289" s="34"/>
      <c r="E289" s="136" t="s">
        <v>51</v>
      </c>
      <c r="F289" s="136" t="s">
        <v>52</v>
      </c>
      <c r="G289" s="136" t="s">
        <v>53</v>
      </c>
      <c r="H289" s="136" t="s">
        <v>65</v>
      </c>
      <c r="I289" s="62"/>
      <c r="J289" s="62"/>
      <c r="K289" s="62"/>
      <c r="L289" s="62"/>
      <c r="M289" s="62"/>
      <c r="N289" s="62"/>
      <c r="O289" s="62"/>
      <c r="P289" s="62"/>
      <c r="Q289" s="137" t="s">
        <v>55</v>
      </c>
      <c r="R289" s="138" t="s">
        <v>56</v>
      </c>
      <c r="S289" s="138" t="s">
        <v>57</v>
      </c>
      <c r="T289" s="138" t="s">
        <v>58</v>
      </c>
      <c r="U289" s="139" t="s">
        <v>59</v>
      </c>
      <c r="V289" s="140" t="s">
        <v>60</v>
      </c>
      <c r="W289" s="51"/>
      <c r="X289" s="51"/>
      <c r="Y289" s="4"/>
      <c r="Z289" s="5"/>
    </row>
    <row r="290" spans="1:26" ht="15" customHeight="1">
      <c r="A290" s="69"/>
      <c r="B290" s="70"/>
      <c r="C290" s="71"/>
      <c r="D290" s="72"/>
      <c r="E290" s="72"/>
      <c r="F290" s="72"/>
      <c r="G290" s="72"/>
      <c r="H290" s="72"/>
      <c r="I290" s="73"/>
      <c r="J290" s="74"/>
      <c r="K290" s="73"/>
      <c r="L290" s="75"/>
      <c r="M290" s="73"/>
      <c r="N290" s="73" t="str">
        <f>IF(M290&lt;=$A$394,"FINALIZADO","ACTIVO")</f>
        <v>FINALIZADO</v>
      </c>
      <c r="O290" s="74"/>
      <c r="P290" s="76">
        <f>O290*4/1000+O290</f>
        <v>0</v>
      </c>
      <c r="Q290" s="77"/>
      <c r="R290" s="77"/>
      <c r="S290" s="77"/>
      <c r="T290" s="79"/>
      <c r="U290" s="79"/>
      <c r="V290" s="80">
        <f t="shared" ref="V290:V295" si="17">U290*4/1000+U290</f>
        <v>0</v>
      </c>
      <c r="W290" s="81">
        <f>P290-V290-V291-V292</f>
        <v>0</v>
      </c>
      <c r="X290" s="82"/>
      <c r="Y290" s="45"/>
      <c r="Z290" s="5"/>
    </row>
    <row r="291" spans="1:26" ht="15" customHeight="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77"/>
      <c r="R291" s="77"/>
      <c r="S291" s="77"/>
      <c r="T291" s="79"/>
      <c r="U291" s="79"/>
      <c r="V291" s="80">
        <f t="shared" si="17"/>
        <v>0</v>
      </c>
      <c r="W291" s="83"/>
      <c r="X291" s="83"/>
      <c r="Y291" s="45"/>
      <c r="Z291" s="5"/>
    </row>
    <row r="292" spans="1:26" ht="15" customHeight="1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77"/>
      <c r="R292" s="77"/>
      <c r="S292" s="77"/>
      <c r="T292" s="79"/>
      <c r="U292" s="79"/>
      <c r="V292" s="80">
        <f t="shared" si="17"/>
        <v>0</v>
      </c>
      <c r="W292" s="83"/>
      <c r="X292" s="83"/>
      <c r="Y292" s="45"/>
      <c r="Z292" s="5"/>
    </row>
    <row r="293" spans="1:26" ht="15" customHeight="1">
      <c r="A293" s="84"/>
      <c r="B293" s="85"/>
      <c r="C293" s="86"/>
      <c r="D293" s="87"/>
      <c r="E293" s="87"/>
      <c r="F293" s="87"/>
      <c r="G293" s="87"/>
      <c r="H293" s="87"/>
      <c r="I293" s="88"/>
      <c r="J293" s="89"/>
      <c r="K293" s="88"/>
      <c r="L293" s="90"/>
      <c r="M293" s="88"/>
      <c r="N293" s="88" t="str">
        <f>IF(M293&lt;=$A$394,"FINALIZADO","ACTIVO")</f>
        <v>FINALIZADO</v>
      </c>
      <c r="O293" s="89"/>
      <c r="P293" s="91">
        <f>O293*4/1000+O293</f>
        <v>0</v>
      </c>
      <c r="Q293" s="92"/>
      <c r="R293" s="92"/>
      <c r="S293" s="92"/>
      <c r="T293" s="93"/>
      <c r="U293" s="93"/>
      <c r="V293" s="94">
        <f t="shared" si="17"/>
        <v>0</v>
      </c>
      <c r="W293" s="95">
        <f>P293-V293-V294-V295</f>
        <v>0</v>
      </c>
      <c r="X293" s="96"/>
      <c r="Y293" s="45"/>
      <c r="Z293" s="5"/>
    </row>
    <row r="294" spans="1:26" ht="15" customHeight="1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92"/>
      <c r="R294" s="92"/>
      <c r="S294" s="92"/>
      <c r="T294" s="93"/>
      <c r="U294" s="93"/>
      <c r="V294" s="94">
        <f t="shared" si="17"/>
        <v>0</v>
      </c>
      <c r="W294" s="83"/>
      <c r="X294" s="83"/>
      <c r="Y294" s="45"/>
      <c r="Z294" s="5"/>
    </row>
    <row r="295" spans="1:26" ht="15" customHeight="1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92"/>
      <c r="R295" s="92"/>
      <c r="S295" s="92"/>
      <c r="T295" s="93"/>
      <c r="U295" s="93"/>
      <c r="V295" s="94">
        <f t="shared" si="17"/>
        <v>0</v>
      </c>
      <c r="W295" s="83"/>
      <c r="X295" s="83"/>
      <c r="Y295" s="45"/>
      <c r="Z295" s="5"/>
    </row>
    <row r="296" spans="1:26" ht="9.75" customHeight="1">
      <c r="A296" s="97"/>
      <c r="B296" s="97"/>
      <c r="C296" s="98"/>
      <c r="D296" s="45"/>
      <c r="E296" s="45"/>
      <c r="F296" s="45"/>
      <c r="G296" s="45"/>
      <c r="H296" s="45"/>
      <c r="I296" s="97"/>
      <c r="J296" s="97"/>
      <c r="K296" s="97"/>
      <c r="L296" s="97"/>
      <c r="M296" s="97"/>
      <c r="N296" s="97"/>
      <c r="O296" s="45"/>
      <c r="P296" s="99"/>
      <c r="Q296" s="100"/>
      <c r="R296" s="97"/>
      <c r="S296" s="101"/>
      <c r="T296" s="101"/>
      <c r="U296" s="101"/>
      <c r="V296" s="101"/>
      <c r="W296" s="102"/>
      <c r="X296" s="45"/>
      <c r="Y296" s="45"/>
      <c r="Z296" s="5"/>
    </row>
    <row r="297" spans="1:26" ht="21.75" customHeight="1">
      <c r="A297" s="124" t="s">
        <v>31</v>
      </c>
      <c r="B297" s="106" t="s">
        <v>85</v>
      </c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125" t="s">
        <v>33</v>
      </c>
      <c r="P297" s="33"/>
      <c r="Q297" s="33"/>
      <c r="R297" s="33"/>
      <c r="S297" s="50"/>
      <c r="T297" s="33"/>
      <c r="U297" s="33"/>
      <c r="V297" s="33"/>
      <c r="W297" s="33"/>
      <c r="X297" s="33"/>
      <c r="Y297" s="47"/>
      <c r="Z297" s="5"/>
    </row>
    <row r="298" spans="1:26" ht="20.25" customHeight="1">
      <c r="A298" s="51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125" t="s">
        <v>34</v>
      </c>
      <c r="P298" s="33"/>
      <c r="Q298" s="33"/>
      <c r="R298" s="33"/>
      <c r="S298" s="50">
        <f>SUBTOTAL(109,P302:P307)</f>
        <v>0</v>
      </c>
      <c r="T298" s="33"/>
      <c r="U298" s="33"/>
      <c r="V298" s="33"/>
      <c r="W298" s="33"/>
      <c r="X298" s="33"/>
      <c r="Y298" s="47"/>
      <c r="Z298" s="5"/>
    </row>
    <row r="299" spans="1:26" ht="20.2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126" t="s">
        <v>35</v>
      </c>
      <c r="P299" s="51"/>
      <c r="Q299" s="51"/>
      <c r="R299" s="51"/>
      <c r="S299" s="50">
        <f>S297-S298</f>
        <v>0</v>
      </c>
      <c r="T299" s="33"/>
      <c r="U299" s="33"/>
      <c r="V299" s="33"/>
      <c r="W299" s="33"/>
      <c r="X299" s="33"/>
      <c r="Y299" s="4"/>
      <c r="Z299" s="5"/>
    </row>
    <row r="300" spans="1:26" ht="15.75" customHeight="1">
      <c r="A300" s="127" t="s">
        <v>36</v>
      </c>
      <c r="B300" s="127" t="s">
        <v>37</v>
      </c>
      <c r="C300" s="128" t="s">
        <v>6</v>
      </c>
      <c r="D300" s="129" t="s">
        <v>50</v>
      </c>
      <c r="E300" s="130" t="s">
        <v>38</v>
      </c>
      <c r="F300" s="2"/>
      <c r="G300" s="2"/>
      <c r="H300" s="3"/>
      <c r="I300" s="127" t="s">
        <v>62</v>
      </c>
      <c r="J300" s="127" t="s">
        <v>40</v>
      </c>
      <c r="K300" s="131" t="s">
        <v>41</v>
      </c>
      <c r="L300" s="132" t="s">
        <v>42</v>
      </c>
      <c r="M300" s="132" t="s">
        <v>43</v>
      </c>
      <c r="N300" s="127" t="s">
        <v>44</v>
      </c>
      <c r="O300" s="131" t="s">
        <v>63</v>
      </c>
      <c r="P300" s="131" t="s">
        <v>64</v>
      </c>
      <c r="Q300" s="133" t="s">
        <v>67</v>
      </c>
      <c r="R300" s="2"/>
      <c r="S300" s="2"/>
      <c r="T300" s="2"/>
      <c r="U300" s="2"/>
      <c r="V300" s="3"/>
      <c r="W300" s="134" t="s">
        <v>48</v>
      </c>
      <c r="X300" s="135" t="s">
        <v>49</v>
      </c>
      <c r="Y300" s="4"/>
      <c r="Z300" s="5"/>
    </row>
    <row r="301" spans="1:26" ht="15.75" customHeight="1">
      <c r="A301" s="62"/>
      <c r="B301" s="62"/>
      <c r="C301" s="62"/>
      <c r="D301" s="34"/>
      <c r="E301" s="136" t="s">
        <v>51</v>
      </c>
      <c r="F301" s="136" t="s">
        <v>52</v>
      </c>
      <c r="G301" s="136" t="s">
        <v>53</v>
      </c>
      <c r="H301" s="136" t="s">
        <v>65</v>
      </c>
      <c r="I301" s="62"/>
      <c r="J301" s="62"/>
      <c r="K301" s="62"/>
      <c r="L301" s="62"/>
      <c r="M301" s="62"/>
      <c r="N301" s="62"/>
      <c r="O301" s="62"/>
      <c r="P301" s="62"/>
      <c r="Q301" s="137" t="s">
        <v>55</v>
      </c>
      <c r="R301" s="138" t="s">
        <v>56</v>
      </c>
      <c r="S301" s="138" t="s">
        <v>57</v>
      </c>
      <c r="T301" s="138" t="s">
        <v>58</v>
      </c>
      <c r="U301" s="139" t="s">
        <v>59</v>
      </c>
      <c r="V301" s="140" t="s">
        <v>60</v>
      </c>
      <c r="W301" s="51"/>
      <c r="X301" s="51"/>
      <c r="Y301" s="4"/>
      <c r="Z301" s="5"/>
    </row>
    <row r="302" spans="1:26" ht="15" customHeight="1">
      <c r="A302" s="69"/>
      <c r="B302" s="70"/>
      <c r="C302" s="71"/>
      <c r="D302" s="72"/>
      <c r="E302" s="72"/>
      <c r="F302" s="72"/>
      <c r="G302" s="72"/>
      <c r="H302" s="72"/>
      <c r="I302" s="73"/>
      <c r="J302" s="74"/>
      <c r="K302" s="73"/>
      <c r="L302" s="75"/>
      <c r="M302" s="73"/>
      <c r="N302" s="73" t="str">
        <f>IF(M302&lt;=$A$394,"FINALIZADO","ACTIVO")</f>
        <v>FINALIZADO</v>
      </c>
      <c r="O302" s="74"/>
      <c r="P302" s="76">
        <f>O302*4/1000+O302</f>
        <v>0</v>
      </c>
      <c r="Q302" s="77"/>
      <c r="R302" s="77"/>
      <c r="S302" s="77"/>
      <c r="T302" s="79"/>
      <c r="U302" s="79"/>
      <c r="V302" s="80">
        <f t="shared" ref="V302:V307" si="18">U302*4/1000+U302</f>
        <v>0</v>
      </c>
      <c r="W302" s="81">
        <f>P302-V302-V303-V304</f>
        <v>0</v>
      </c>
      <c r="X302" s="82"/>
      <c r="Y302" s="45"/>
      <c r="Z302" s="5"/>
    </row>
    <row r="303" spans="1:26" ht="15" customHeight="1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77"/>
      <c r="R303" s="77"/>
      <c r="S303" s="77"/>
      <c r="T303" s="79"/>
      <c r="U303" s="79"/>
      <c r="V303" s="80">
        <f t="shared" si="18"/>
        <v>0</v>
      </c>
      <c r="W303" s="83"/>
      <c r="X303" s="83"/>
      <c r="Y303" s="45"/>
      <c r="Z303" s="5"/>
    </row>
    <row r="304" spans="1:26" ht="15" customHeight="1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77"/>
      <c r="R304" s="77"/>
      <c r="S304" s="77"/>
      <c r="T304" s="79"/>
      <c r="U304" s="79"/>
      <c r="V304" s="80">
        <f t="shared" si="18"/>
        <v>0</v>
      </c>
      <c r="W304" s="83"/>
      <c r="X304" s="83"/>
      <c r="Y304" s="45"/>
      <c r="Z304" s="5"/>
    </row>
    <row r="305" spans="1:26" ht="15" customHeight="1">
      <c r="A305" s="84"/>
      <c r="B305" s="85"/>
      <c r="C305" s="86"/>
      <c r="D305" s="87"/>
      <c r="E305" s="87"/>
      <c r="F305" s="87"/>
      <c r="G305" s="87"/>
      <c r="H305" s="87"/>
      <c r="I305" s="88"/>
      <c r="J305" s="89"/>
      <c r="K305" s="88"/>
      <c r="L305" s="90"/>
      <c r="M305" s="88"/>
      <c r="N305" s="88" t="str">
        <f>IF(M305&lt;=$A$394,"FINALIZADO","ACTIVO")</f>
        <v>FINALIZADO</v>
      </c>
      <c r="O305" s="89"/>
      <c r="P305" s="91">
        <f>O305*4/1000+O305</f>
        <v>0</v>
      </c>
      <c r="Q305" s="92"/>
      <c r="R305" s="92"/>
      <c r="S305" s="92"/>
      <c r="T305" s="93"/>
      <c r="U305" s="93"/>
      <c r="V305" s="94">
        <f t="shared" si="18"/>
        <v>0</v>
      </c>
      <c r="W305" s="95">
        <f>P305-V305-V306-V307</f>
        <v>0</v>
      </c>
      <c r="X305" s="96"/>
      <c r="Y305" s="45"/>
      <c r="Z305" s="5"/>
    </row>
    <row r="306" spans="1:26" ht="15" customHeight="1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92"/>
      <c r="R306" s="92"/>
      <c r="S306" s="92"/>
      <c r="T306" s="93"/>
      <c r="U306" s="93"/>
      <c r="V306" s="94">
        <f t="shared" si="18"/>
        <v>0</v>
      </c>
      <c r="W306" s="83"/>
      <c r="X306" s="83"/>
      <c r="Y306" s="45"/>
      <c r="Z306" s="5"/>
    </row>
    <row r="307" spans="1:26" ht="15" customHeight="1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92"/>
      <c r="R307" s="92"/>
      <c r="S307" s="92"/>
      <c r="T307" s="93"/>
      <c r="U307" s="93"/>
      <c r="V307" s="94">
        <f t="shared" si="18"/>
        <v>0</v>
      </c>
      <c r="W307" s="83"/>
      <c r="X307" s="83"/>
      <c r="Y307" s="45"/>
      <c r="Z307" s="5"/>
    </row>
    <row r="308" spans="1:26" ht="9.75" customHeight="1">
      <c r="A308" s="97"/>
      <c r="B308" s="97"/>
      <c r="C308" s="98"/>
      <c r="D308" s="45"/>
      <c r="E308" s="45"/>
      <c r="F308" s="45"/>
      <c r="G308" s="45"/>
      <c r="H308" s="45"/>
      <c r="I308" s="97"/>
      <c r="J308" s="97"/>
      <c r="K308" s="97"/>
      <c r="L308" s="97"/>
      <c r="M308" s="97"/>
      <c r="N308" s="97"/>
      <c r="O308" s="45"/>
      <c r="P308" s="99"/>
      <c r="Q308" s="100"/>
      <c r="R308" s="97"/>
      <c r="S308" s="101"/>
      <c r="T308" s="101"/>
      <c r="U308" s="101"/>
      <c r="V308" s="101"/>
      <c r="W308" s="102"/>
      <c r="X308" s="45"/>
      <c r="Y308" s="45"/>
      <c r="Z308" s="5"/>
    </row>
    <row r="309" spans="1:26" ht="21.75" customHeight="1">
      <c r="A309" s="124" t="s">
        <v>31</v>
      </c>
      <c r="B309" s="106" t="s">
        <v>86</v>
      </c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125" t="s">
        <v>33</v>
      </c>
      <c r="P309" s="33"/>
      <c r="Q309" s="33"/>
      <c r="R309" s="33"/>
      <c r="S309" s="50"/>
      <c r="T309" s="33"/>
      <c r="U309" s="33"/>
      <c r="V309" s="33"/>
      <c r="W309" s="33"/>
      <c r="X309" s="33"/>
      <c r="Y309" s="47"/>
      <c r="Z309" s="5"/>
    </row>
    <row r="310" spans="1:26" ht="20.25" customHeight="1">
      <c r="A310" s="51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125" t="s">
        <v>34</v>
      </c>
      <c r="P310" s="33"/>
      <c r="Q310" s="33"/>
      <c r="R310" s="33"/>
      <c r="S310" s="50">
        <f>SUBTOTAL(109,P314:P319)</f>
        <v>0</v>
      </c>
      <c r="T310" s="33"/>
      <c r="U310" s="33"/>
      <c r="V310" s="33"/>
      <c r="W310" s="33"/>
      <c r="X310" s="33"/>
      <c r="Y310" s="47"/>
      <c r="Z310" s="5"/>
    </row>
    <row r="311" spans="1:26" ht="20.2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126" t="s">
        <v>35</v>
      </c>
      <c r="P311" s="51"/>
      <c r="Q311" s="51"/>
      <c r="R311" s="51"/>
      <c r="S311" s="50">
        <f>S309-S310</f>
        <v>0</v>
      </c>
      <c r="T311" s="33"/>
      <c r="U311" s="33"/>
      <c r="V311" s="33"/>
      <c r="W311" s="33"/>
      <c r="X311" s="33"/>
      <c r="Y311" s="4"/>
      <c r="Z311" s="5"/>
    </row>
    <row r="312" spans="1:26" ht="15.75" customHeight="1">
      <c r="A312" s="127" t="s">
        <v>36</v>
      </c>
      <c r="B312" s="127" t="s">
        <v>37</v>
      </c>
      <c r="C312" s="128" t="s">
        <v>6</v>
      </c>
      <c r="D312" s="129" t="s">
        <v>50</v>
      </c>
      <c r="E312" s="130" t="s">
        <v>38</v>
      </c>
      <c r="F312" s="2"/>
      <c r="G312" s="2"/>
      <c r="H312" s="3"/>
      <c r="I312" s="127" t="s">
        <v>62</v>
      </c>
      <c r="J312" s="127" t="s">
        <v>40</v>
      </c>
      <c r="K312" s="131" t="s">
        <v>41</v>
      </c>
      <c r="L312" s="132" t="s">
        <v>42</v>
      </c>
      <c r="M312" s="132" t="s">
        <v>43</v>
      </c>
      <c r="N312" s="127" t="s">
        <v>44</v>
      </c>
      <c r="O312" s="131" t="s">
        <v>63</v>
      </c>
      <c r="P312" s="131" t="s">
        <v>64</v>
      </c>
      <c r="Q312" s="133" t="s">
        <v>67</v>
      </c>
      <c r="R312" s="2"/>
      <c r="S312" s="2"/>
      <c r="T312" s="2"/>
      <c r="U312" s="2"/>
      <c r="V312" s="3"/>
      <c r="W312" s="134" t="s">
        <v>48</v>
      </c>
      <c r="X312" s="135" t="s">
        <v>49</v>
      </c>
      <c r="Y312" s="4"/>
      <c r="Z312" s="5"/>
    </row>
    <row r="313" spans="1:26" ht="15.75" customHeight="1">
      <c r="A313" s="62"/>
      <c r="B313" s="62"/>
      <c r="C313" s="62"/>
      <c r="D313" s="34"/>
      <c r="E313" s="136" t="s">
        <v>51</v>
      </c>
      <c r="F313" s="136" t="s">
        <v>52</v>
      </c>
      <c r="G313" s="136" t="s">
        <v>53</v>
      </c>
      <c r="H313" s="136" t="s">
        <v>65</v>
      </c>
      <c r="I313" s="62"/>
      <c r="J313" s="62"/>
      <c r="K313" s="62"/>
      <c r="L313" s="62"/>
      <c r="M313" s="62"/>
      <c r="N313" s="62"/>
      <c r="O313" s="62"/>
      <c r="P313" s="62"/>
      <c r="Q313" s="137" t="s">
        <v>55</v>
      </c>
      <c r="R313" s="138" t="s">
        <v>56</v>
      </c>
      <c r="S313" s="138" t="s">
        <v>57</v>
      </c>
      <c r="T313" s="138" t="s">
        <v>58</v>
      </c>
      <c r="U313" s="139" t="s">
        <v>59</v>
      </c>
      <c r="V313" s="140" t="s">
        <v>60</v>
      </c>
      <c r="W313" s="51"/>
      <c r="X313" s="51"/>
      <c r="Y313" s="4"/>
      <c r="Z313" s="5"/>
    </row>
    <row r="314" spans="1:26" ht="15" customHeight="1">
      <c r="A314" s="69"/>
      <c r="B314" s="70"/>
      <c r="C314" s="71"/>
      <c r="D314" s="72"/>
      <c r="E314" s="72"/>
      <c r="F314" s="72"/>
      <c r="G314" s="72"/>
      <c r="H314" s="72"/>
      <c r="I314" s="73"/>
      <c r="J314" s="74"/>
      <c r="K314" s="73"/>
      <c r="L314" s="75"/>
      <c r="M314" s="73"/>
      <c r="N314" s="73" t="str">
        <f>IF(M314&lt;=$A$394,"FINALIZADO","ACTIVO")</f>
        <v>FINALIZADO</v>
      </c>
      <c r="O314" s="74"/>
      <c r="P314" s="76">
        <f>O314*4/1000+O314</f>
        <v>0</v>
      </c>
      <c r="Q314" s="77"/>
      <c r="R314" s="77"/>
      <c r="S314" s="77"/>
      <c r="T314" s="79"/>
      <c r="U314" s="79"/>
      <c r="V314" s="80">
        <f t="shared" ref="V314:V319" si="19">U314*4/1000+U314</f>
        <v>0</v>
      </c>
      <c r="W314" s="81">
        <f>P314-V314-V315-V316</f>
        <v>0</v>
      </c>
      <c r="X314" s="82"/>
      <c r="Y314" s="45"/>
      <c r="Z314" s="5"/>
    </row>
    <row r="315" spans="1:26" ht="15" customHeight="1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77"/>
      <c r="R315" s="77"/>
      <c r="S315" s="77"/>
      <c r="T315" s="79"/>
      <c r="U315" s="79"/>
      <c r="V315" s="80">
        <f t="shared" si="19"/>
        <v>0</v>
      </c>
      <c r="W315" s="83"/>
      <c r="X315" s="83"/>
      <c r="Y315" s="45"/>
      <c r="Z315" s="5"/>
    </row>
    <row r="316" spans="1:26" ht="15" customHeight="1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77"/>
      <c r="R316" s="77"/>
      <c r="S316" s="77"/>
      <c r="T316" s="79"/>
      <c r="U316" s="79"/>
      <c r="V316" s="80">
        <f t="shared" si="19"/>
        <v>0</v>
      </c>
      <c r="W316" s="83"/>
      <c r="X316" s="83"/>
      <c r="Y316" s="45"/>
      <c r="Z316" s="5"/>
    </row>
    <row r="317" spans="1:26" ht="15" customHeight="1">
      <c r="A317" s="84"/>
      <c r="B317" s="85"/>
      <c r="C317" s="86"/>
      <c r="D317" s="87"/>
      <c r="E317" s="87"/>
      <c r="F317" s="87"/>
      <c r="G317" s="87"/>
      <c r="H317" s="87"/>
      <c r="I317" s="88"/>
      <c r="J317" s="89"/>
      <c r="K317" s="88"/>
      <c r="L317" s="90"/>
      <c r="M317" s="88"/>
      <c r="N317" s="88" t="str">
        <f>IF(M317&lt;=$A$394,"FINALIZADO","ACTIVO")</f>
        <v>FINALIZADO</v>
      </c>
      <c r="O317" s="89"/>
      <c r="P317" s="91">
        <f>O317*4/1000+O317</f>
        <v>0</v>
      </c>
      <c r="Q317" s="92"/>
      <c r="R317" s="92"/>
      <c r="S317" s="92"/>
      <c r="T317" s="93"/>
      <c r="U317" s="93"/>
      <c r="V317" s="94">
        <f t="shared" si="19"/>
        <v>0</v>
      </c>
      <c r="W317" s="95">
        <f>P317-V317-V318-V319</f>
        <v>0</v>
      </c>
      <c r="X317" s="96"/>
      <c r="Y317" s="45"/>
      <c r="Z317" s="5"/>
    </row>
    <row r="318" spans="1:26" ht="15" customHeight="1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92"/>
      <c r="R318" s="92"/>
      <c r="S318" s="92"/>
      <c r="T318" s="93"/>
      <c r="U318" s="93"/>
      <c r="V318" s="94">
        <f t="shared" si="19"/>
        <v>0</v>
      </c>
      <c r="W318" s="83"/>
      <c r="X318" s="83"/>
      <c r="Y318" s="45"/>
      <c r="Z318" s="5"/>
    </row>
    <row r="319" spans="1:26" ht="15" customHeight="1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92"/>
      <c r="R319" s="92"/>
      <c r="S319" s="92"/>
      <c r="T319" s="93"/>
      <c r="U319" s="93"/>
      <c r="V319" s="94">
        <f t="shared" si="19"/>
        <v>0</v>
      </c>
      <c r="W319" s="83"/>
      <c r="X319" s="83"/>
      <c r="Y319" s="45"/>
      <c r="Z319" s="5"/>
    </row>
    <row r="320" spans="1:26" ht="9.75" customHeight="1">
      <c r="A320" s="97"/>
      <c r="B320" s="97"/>
      <c r="C320" s="98"/>
      <c r="D320" s="45"/>
      <c r="E320" s="45"/>
      <c r="F320" s="45"/>
      <c r="G320" s="45"/>
      <c r="H320" s="45"/>
      <c r="I320" s="97"/>
      <c r="J320" s="97"/>
      <c r="K320" s="97"/>
      <c r="L320" s="97"/>
      <c r="M320" s="97"/>
      <c r="N320" s="97"/>
      <c r="O320" s="45"/>
      <c r="P320" s="99"/>
      <c r="Q320" s="100"/>
      <c r="R320" s="97"/>
      <c r="S320" s="101"/>
      <c r="T320" s="101"/>
      <c r="U320" s="101"/>
      <c r="V320" s="101"/>
      <c r="W320" s="102"/>
      <c r="X320" s="45"/>
      <c r="Y320" s="45"/>
      <c r="Z320" s="5"/>
    </row>
    <row r="321" spans="1:26" ht="21.75" customHeight="1">
      <c r="A321" s="124" t="s">
        <v>31</v>
      </c>
      <c r="B321" s="106" t="s">
        <v>87</v>
      </c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125" t="s">
        <v>33</v>
      </c>
      <c r="P321" s="33"/>
      <c r="Q321" s="33"/>
      <c r="R321" s="33"/>
      <c r="S321" s="50"/>
      <c r="T321" s="33"/>
      <c r="U321" s="33"/>
      <c r="V321" s="33"/>
      <c r="W321" s="33"/>
      <c r="X321" s="33"/>
      <c r="Y321" s="47"/>
      <c r="Z321" s="5"/>
    </row>
    <row r="322" spans="1:26" ht="20.25" customHeight="1">
      <c r="A322" s="51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125" t="s">
        <v>34</v>
      </c>
      <c r="P322" s="33"/>
      <c r="Q322" s="33"/>
      <c r="R322" s="33"/>
      <c r="S322" s="50">
        <f>SUBTOTAL(109,P326:P331)</f>
        <v>0</v>
      </c>
      <c r="T322" s="33"/>
      <c r="U322" s="33"/>
      <c r="V322" s="33"/>
      <c r="W322" s="33"/>
      <c r="X322" s="33"/>
      <c r="Y322" s="47"/>
      <c r="Z322" s="5"/>
    </row>
    <row r="323" spans="1:26" ht="20.2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126" t="s">
        <v>35</v>
      </c>
      <c r="P323" s="51"/>
      <c r="Q323" s="51"/>
      <c r="R323" s="51"/>
      <c r="S323" s="50">
        <f>S321-S322</f>
        <v>0</v>
      </c>
      <c r="T323" s="33"/>
      <c r="U323" s="33"/>
      <c r="V323" s="33"/>
      <c r="W323" s="33"/>
      <c r="X323" s="33"/>
      <c r="Y323" s="4"/>
      <c r="Z323" s="5"/>
    </row>
    <row r="324" spans="1:26" ht="15.75" customHeight="1">
      <c r="A324" s="127" t="s">
        <v>36</v>
      </c>
      <c r="B324" s="127" t="s">
        <v>37</v>
      </c>
      <c r="C324" s="128" t="s">
        <v>6</v>
      </c>
      <c r="D324" s="129" t="s">
        <v>50</v>
      </c>
      <c r="E324" s="130" t="s">
        <v>38</v>
      </c>
      <c r="F324" s="2"/>
      <c r="G324" s="2"/>
      <c r="H324" s="3"/>
      <c r="I324" s="127" t="s">
        <v>62</v>
      </c>
      <c r="J324" s="127" t="s">
        <v>40</v>
      </c>
      <c r="K324" s="131" t="s">
        <v>41</v>
      </c>
      <c r="L324" s="132" t="s">
        <v>42</v>
      </c>
      <c r="M324" s="132" t="s">
        <v>43</v>
      </c>
      <c r="N324" s="127" t="s">
        <v>44</v>
      </c>
      <c r="O324" s="131" t="s">
        <v>63</v>
      </c>
      <c r="P324" s="131" t="s">
        <v>64</v>
      </c>
      <c r="Q324" s="133" t="s">
        <v>67</v>
      </c>
      <c r="R324" s="2"/>
      <c r="S324" s="2"/>
      <c r="T324" s="2"/>
      <c r="U324" s="2"/>
      <c r="V324" s="3"/>
      <c r="W324" s="134" t="s">
        <v>48</v>
      </c>
      <c r="X324" s="135" t="s">
        <v>49</v>
      </c>
      <c r="Y324" s="4"/>
      <c r="Z324" s="5"/>
    </row>
    <row r="325" spans="1:26" ht="15.75" customHeight="1">
      <c r="A325" s="62"/>
      <c r="B325" s="62"/>
      <c r="C325" s="62"/>
      <c r="D325" s="34"/>
      <c r="E325" s="136" t="s">
        <v>51</v>
      </c>
      <c r="F325" s="136" t="s">
        <v>52</v>
      </c>
      <c r="G325" s="136" t="s">
        <v>53</v>
      </c>
      <c r="H325" s="136" t="s">
        <v>65</v>
      </c>
      <c r="I325" s="62"/>
      <c r="J325" s="62"/>
      <c r="K325" s="62"/>
      <c r="L325" s="62"/>
      <c r="M325" s="62"/>
      <c r="N325" s="62"/>
      <c r="O325" s="62"/>
      <c r="P325" s="62"/>
      <c r="Q325" s="137" t="s">
        <v>55</v>
      </c>
      <c r="R325" s="138" t="s">
        <v>56</v>
      </c>
      <c r="S325" s="138" t="s">
        <v>57</v>
      </c>
      <c r="T325" s="138" t="s">
        <v>58</v>
      </c>
      <c r="U325" s="139" t="s">
        <v>59</v>
      </c>
      <c r="V325" s="140" t="s">
        <v>60</v>
      </c>
      <c r="W325" s="51"/>
      <c r="X325" s="51"/>
      <c r="Y325" s="4"/>
      <c r="Z325" s="5"/>
    </row>
    <row r="326" spans="1:26" ht="15" customHeight="1">
      <c r="A326" s="69"/>
      <c r="B326" s="70"/>
      <c r="C326" s="71"/>
      <c r="D326" s="72"/>
      <c r="E326" s="72"/>
      <c r="F326" s="72"/>
      <c r="G326" s="72"/>
      <c r="H326" s="72"/>
      <c r="I326" s="73"/>
      <c r="J326" s="74"/>
      <c r="K326" s="73"/>
      <c r="L326" s="75"/>
      <c r="M326" s="73"/>
      <c r="N326" s="73" t="str">
        <f>IF(M326&lt;=$A$394,"FINALIZADO","ACTIVO")</f>
        <v>FINALIZADO</v>
      </c>
      <c r="O326" s="74"/>
      <c r="P326" s="76">
        <f>O326*4/1000+O326</f>
        <v>0</v>
      </c>
      <c r="Q326" s="77"/>
      <c r="R326" s="77"/>
      <c r="S326" s="77"/>
      <c r="T326" s="79"/>
      <c r="U326" s="79"/>
      <c r="V326" s="80">
        <f t="shared" ref="V326:V331" si="20">U326*4/1000+U326</f>
        <v>0</v>
      </c>
      <c r="W326" s="81">
        <f>P326-V326-V327-V328</f>
        <v>0</v>
      </c>
      <c r="X326" s="82"/>
      <c r="Y326" s="45"/>
      <c r="Z326" s="5"/>
    </row>
    <row r="327" spans="1:26" ht="15" customHeight="1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77"/>
      <c r="R327" s="77"/>
      <c r="S327" s="77"/>
      <c r="T327" s="79"/>
      <c r="U327" s="79"/>
      <c r="V327" s="80">
        <f t="shared" si="20"/>
        <v>0</v>
      </c>
      <c r="W327" s="83"/>
      <c r="X327" s="83"/>
      <c r="Y327" s="45"/>
      <c r="Z327" s="5"/>
    </row>
    <row r="328" spans="1:26" ht="15" customHeight="1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77"/>
      <c r="R328" s="77"/>
      <c r="S328" s="77"/>
      <c r="T328" s="79"/>
      <c r="U328" s="79"/>
      <c r="V328" s="80">
        <f t="shared" si="20"/>
        <v>0</v>
      </c>
      <c r="W328" s="83"/>
      <c r="X328" s="83"/>
      <c r="Y328" s="45"/>
      <c r="Z328" s="5"/>
    </row>
    <row r="329" spans="1:26" ht="15" customHeight="1">
      <c r="A329" s="84"/>
      <c r="B329" s="85"/>
      <c r="C329" s="86"/>
      <c r="D329" s="87"/>
      <c r="E329" s="87"/>
      <c r="F329" s="87"/>
      <c r="G329" s="87"/>
      <c r="H329" s="87"/>
      <c r="I329" s="88"/>
      <c r="J329" s="89"/>
      <c r="K329" s="88"/>
      <c r="L329" s="90"/>
      <c r="M329" s="88"/>
      <c r="N329" s="88" t="str">
        <f>IF(M329&lt;=$A$394,"FINALIZADO","ACTIVO")</f>
        <v>FINALIZADO</v>
      </c>
      <c r="O329" s="89"/>
      <c r="P329" s="91">
        <f>O329*4/1000+O329</f>
        <v>0</v>
      </c>
      <c r="Q329" s="92"/>
      <c r="R329" s="92"/>
      <c r="S329" s="92"/>
      <c r="T329" s="93"/>
      <c r="U329" s="93"/>
      <c r="V329" s="94">
        <f t="shared" si="20"/>
        <v>0</v>
      </c>
      <c r="W329" s="95">
        <f>P329-V329-V330-V331</f>
        <v>0</v>
      </c>
      <c r="X329" s="96"/>
      <c r="Y329" s="45"/>
      <c r="Z329" s="5"/>
    </row>
    <row r="330" spans="1:26" ht="15" customHeight="1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92"/>
      <c r="R330" s="92"/>
      <c r="S330" s="92"/>
      <c r="T330" s="93"/>
      <c r="U330" s="93"/>
      <c r="V330" s="94">
        <f t="shared" si="20"/>
        <v>0</v>
      </c>
      <c r="W330" s="83"/>
      <c r="X330" s="83"/>
      <c r="Y330" s="45"/>
      <c r="Z330" s="5"/>
    </row>
    <row r="331" spans="1:26" ht="15" customHeight="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92"/>
      <c r="R331" s="92"/>
      <c r="S331" s="92"/>
      <c r="T331" s="93"/>
      <c r="U331" s="93"/>
      <c r="V331" s="94">
        <f t="shared" si="20"/>
        <v>0</v>
      </c>
      <c r="W331" s="83"/>
      <c r="X331" s="83"/>
      <c r="Y331" s="45"/>
      <c r="Z331" s="5"/>
    </row>
    <row r="332" spans="1:26" ht="9.75" customHeight="1">
      <c r="A332" s="97"/>
      <c r="B332" s="97"/>
      <c r="C332" s="98"/>
      <c r="D332" s="45"/>
      <c r="E332" s="45"/>
      <c r="F332" s="45"/>
      <c r="G332" s="45"/>
      <c r="H332" s="45"/>
      <c r="I332" s="97"/>
      <c r="J332" s="97"/>
      <c r="K332" s="97"/>
      <c r="L332" s="97"/>
      <c r="M332" s="97"/>
      <c r="N332" s="97"/>
      <c r="O332" s="45"/>
      <c r="P332" s="99"/>
      <c r="Q332" s="100"/>
      <c r="R332" s="97"/>
      <c r="S332" s="101"/>
      <c r="T332" s="101"/>
      <c r="U332" s="101"/>
      <c r="V332" s="101"/>
      <c r="W332" s="102"/>
      <c r="X332" s="45"/>
      <c r="Y332" s="45"/>
      <c r="Z332" s="5"/>
    </row>
    <row r="333" spans="1:26" ht="21.75" customHeight="1">
      <c r="A333" s="124" t="s">
        <v>31</v>
      </c>
      <c r="B333" s="106" t="s">
        <v>88</v>
      </c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125" t="s">
        <v>33</v>
      </c>
      <c r="P333" s="33"/>
      <c r="Q333" s="33"/>
      <c r="R333" s="33"/>
      <c r="S333" s="50"/>
      <c r="T333" s="33"/>
      <c r="U333" s="33"/>
      <c r="V333" s="33"/>
      <c r="W333" s="33"/>
      <c r="X333" s="33"/>
      <c r="Y333" s="47"/>
      <c r="Z333" s="5"/>
    </row>
    <row r="334" spans="1:26" ht="20.25" customHeight="1">
      <c r="A334" s="51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125" t="s">
        <v>34</v>
      </c>
      <c r="P334" s="33"/>
      <c r="Q334" s="33"/>
      <c r="R334" s="33"/>
      <c r="S334" s="50">
        <f>SUBTOTAL(109,P338:P343)</f>
        <v>0</v>
      </c>
      <c r="T334" s="33"/>
      <c r="U334" s="33"/>
      <c r="V334" s="33"/>
      <c r="W334" s="33"/>
      <c r="X334" s="33"/>
      <c r="Y334" s="47"/>
      <c r="Z334" s="5"/>
    </row>
    <row r="335" spans="1:26" ht="20.2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126" t="s">
        <v>35</v>
      </c>
      <c r="P335" s="51"/>
      <c r="Q335" s="51"/>
      <c r="R335" s="51"/>
      <c r="S335" s="50">
        <f>S333-S334</f>
        <v>0</v>
      </c>
      <c r="T335" s="33"/>
      <c r="U335" s="33"/>
      <c r="V335" s="33"/>
      <c r="W335" s="33"/>
      <c r="X335" s="33"/>
      <c r="Y335" s="4"/>
      <c r="Z335" s="5"/>
    </row>
    <row r="336" spans="1:26" ht="15.75" customHeight="1">
      <c r="A336" s="127" t="s">
        <v>36</v>
      </c>
      <c r="B336" s="127" t="s">
        <v>37</v>
      </c>
      <c r="C336" s="128" t="s">
        <v>6</v>
      </c>
      <c r="D336" s="129" t="s">
        <v>50</v>
      </c>
      <c r="E336" s="130" t="s">
        <v>38</v>
      </c>
      <c r="F336" s="2"/>
      <c r="G336" s="2"/>
      <c r="H336" s="3"/>
      <c r="I336" s="127" t="s">
        <v>62</v>
      </c>
      <c r="J336" s="127" t="s">
        <v>40</v>
      </c>
      <c r="K336" s="131" t="s">
        <v>41</v>
      </c>
      <c r="L336" s="132" t="s">
        <v>42</v>
      </c>
      <c r="M336" s="132" t="s">
        <v>43</v>
      </c>
      <c r="N336" s="127" t="s">
        <v>44</v>
      </c>
      <c r="O336" s="131" t="s">
        <v>63</v>
      </c>
      <c r="P336" s="131" t="s">
        <v>64</v>
      </c>
      <c r="Q336" s="133" t="s">
        <v>67</v>
      </c>
      <c r="R336" s="2"/>
      <c r="S336" s="2"/>
      <c r="T336" s="2"/>
      <c r="U336" s="2"/>
      <c r="V336" s="3"/>
      <c r="W336" s="134" t="s">
        <v>48</v>
      </c>
      <c r="X336" s="135" t="s">
        <v>49</v>
      </c>
      <c r="Y336" s="4"/>
      <c r="Z336" s="5"/>
    </row>
    <row r="337" spans="1:26" ht="15.75" customHeight="1">
      <c r="A337" s="62"/>
      <c r="B337" s="62"/>
      <c r="C337" s="62"/>
      <c r="D337" s="34"/>
      <c r="E337" s="136" t="s">
        <v>51</v>
      </c>
      <c r="F337" s="136" t="s">
        <v>52</v>
      </c>
      <c r="G337" s="136" t="s">
        <v>53</v>
      </c>
      <c r="H337" s="136" t="s">
        <v>65</v>
      </c>
      <c r="I337" s="62"/>
      <c r="J337" s="62"/>
      <c r="K337" s="62"/>
      <c r="L337" s="62"/>
      <c r="M337" s="62"/>
      <c r="N337" s="62"/>
      <c r="O337" s="62"/>
      <c r="P337" s="62"/>
      <c r="Q337" s="137" t="s">
        <v>55</v>
      </c>
      <c r="R337" s="138" t="s">
        <v>56</v>
      </c>
      <c r="S337" s="138" t="s">
        <v>57</v>
      </c>
      <c r="T337" s="138" t="s">
        <v>58</v>
      </c>
      <c r="U337" s="139" t="s">
        <v>59</v>
      </c>
      <c r="V337" s="140" t="s">
        <v>60</v>
      </c>
      <c r="W337" s="51"/>
      <c r="X337" s="51"/>
      <c r="Y337" s="4"/>
      <c r="Z337" s="5"/>
    </row>
    <row r="338" spans="1:26" ht="15" customHeight="1">
      <c r="A338" s="69"/>
      <c r="B338" s="70"/>
      <c r="C338" s="71"/>
      <c r="D338" s="72"/>
      <c r="E338" s="72"/>
      <c r="F338" s="72"/>
      <c r="G338" s="72"/>
      <c r="H338" s="72"/>
      <c r="I338" s="73"/>
      <c r="J338" s="74"/>
      <c r="K338" s="73"/>
      <c r="L338" s="75"/>
      <c r="M338" s="73"/>
      <c r="N338" s="73" t="str">
        <f>IF(M338&lt;=$A$394,"FINALIZADO","ACTIVO")</f>
        <v>FINALIZADO</v>
      </c>
      <c r="O338" s="74"/>
      <c r="P338" s="76">
        <f>O338*4/1000+O338</f>
        <v>0</v>
      </c>
      <c r="Q338" s="77"/>
      <c r="R338" s="77"/>
      <c r="S338" s="77"/>
      <c r="T338" s="79"/>
      <c r="U338" s="79"/>
      <c r="V338" s="80">
        <f t="shared" ref="V338:V343" si="21">U338*4/1000+U338</f>
        <v>0</v>
      </c>
      <c r="W338" s="81">
        <f>P338-V338-V339-V340</f>
        <v>0</v>
      </c>
      <c r="X338" s="82"/>
      <c r="Y338" s="45"/>
      <c r="Z338" s="5"/>
    </row>
    <row r="339" spans="1:26" ht="15" customHeight="1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77"/>
      <c r="R339" s="77"/>
      <c r="S339" s="77"/>
      <c r="T339" s="79"/>
      <c r="U339" s="79"/>
      <c r="V339" s="80">
        <f t="shared" si="21"/>
        <v>0</v>
      </c>
      <c r="W339" s="83"/>
      <c r="X339" s="83"/>
      <c r="Y339" s="45"/>
      <c r="Z339" s="5"/>
    </row>
    <row r="340" spans="1:26" ht="15" customHeight="1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77"/>
      <c r="R340" s="77"/>
      <c r="S340" s="77"/>
      <c r="T340" s="79"/>
      <c r="U340" s="79"/>
      <c r="V340" s="80">
        <f t="shared" si="21"/>
        <v>0</v>
      </c>
      <c r="W340" s="83"/>
      <c r="X340" s="83"/>
      <c r="Y340" s="45"/>
      <c r="Z340" s="5"/>
    </row>
    <row r="341" spans="1:26" ht="15" customHeight="1">
      <c r="A341" s="84"/>
      <c r="B341" s="85"/>
      <c r="C341" s="86"/>
      <c r="D341" s="87"/>
      <c r="E341" s="87"/>
      <c r="F341" s="87"/>
      <c r="G341" s="87"/>
      <c r="H341" s="87"/>
      <c r="I341" s="88"/>
      <c r="J341" s="89"/>
      <c r="K341" s="88"/>
      <c r="L341" s="90"/>
      <c r="M341" s="88"/>
      <c r="N341" s="88" t="str">
        <f>IF(M341&lt;=$A$394,"FINALIZADO","ACTIVO")</f>
        <v>FINALIZADO</v>
      </c>
      <c r="O341" s="89"/>
      <c r="P341" s="91">
        <f>O341*4/1000+O341</f>
        <v>0</v>
      </c>
      <c r="Q341" s="92"/>
      <c r="R341" s="92"/>
      <c r="S341" s="92"/>
      <c r="T341" s="93"/>
      <c r="U341" s="93"/>
      <c r="V341" s="94">
        <f t="shared" si="21"/>
        <v>0</v>
      </c>
      <c r="W341" s="95">
        <f>P341-V341-V342-V343</f>
        <v>0</v>
      </c>
      <c r="X341" s="96"/>
      <c r="Y341" s="45"/>
      <c r="Z341" s="5"/>
    </row>
    <row r="342" spans="1:26" ht="15" customHeight="1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92"/>
      <c r="R342" s="92"/>
      <c r="S342" s="92"/>
      <c r="T342" s="93"/>
      <c r="U342" s="93"/>
      <c r="V342" s="94">
        <f t="shared" si="21"/>
        <v>0</v>
      </c>
      <c r="W342" s="83"/>
      <c r="X342" s="83"/>
      <c r="Y342" s="45"/>
      <c r="Z342" s="5"/>
    </row>
    <row r="343" spans="1:26" ht="15" customHeight="1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92"/>
      <c r="R343" s="92"/>
      <c r="S343" s="92"/>
      <c r="T343" s="93"/>
      <c r="U343" s="93"/>
      <c r="V343" s="94">
        <f t="shared" si="21"/>
        <v>0</v>
      </c>
      <c r="W343" s="83"/>
      <c r="X343" s="83"/>
      <c r="Y343" s="45"/>
      <c r="Z343" s="5"/>
    </row>
    <row r="344" spans="1:26" ht="9.75" customHeight="1">
      <c r="A344" s="97"/>
      <c r="B344" s="97"/>
      <c r="C344" s="98"/>
      <c r="D344" s="45"/>
      <c r="E344" s="45"/>
      <c r="F344" s="45"/>
      <c r="G344" s="45"/>
      <c r="H344" s="45"/>
      <c r="I344" s="97"/>
      <c r="J344" s="97"/>
      <c r="K344" s="97"/>
      <c r="L344" s="97"/>
      <c r="M344" s="97"/>
      <c r="N344" s="97"/>
      <c r="O344" s="45"/>
      <c r="P344" s="99"/>
      <c r="Q344" s="100"/>
      <c r="R344" s="97"/>
      <c r="S344" s="101"/>
      <c r="T344" s="101"/>
      <c r="U344" s="101"/>
      <c r="V344" s="101"/>
      <c r="W344" s="102"/>
      <c r="X344" s="45"/>
      <c r="Y344" s="45"/>
      <c r="Z344" s="5"/>
    </row>
    <row r="345" spans="1:26" ht="21.75" customHeight="1">
      <c r="A345" s="124" t="s">
        <v>31</v>
      </c>
      <c r="B345" s="106" t="s">
        <v>89</v>
      </c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125" t="s">
        <v>33</v>
      </c>
      <c r="P345" s="33"/>
      <c r="Q345" s="33"/>
      <c r="R345" s="33"/>
      <c r="S345" s="50"/>
      <c r="T345" s="33"/>
      <c r="U345" s="33"/>
      <c r="V345" s="33"/>
      <c r="W345" s="33"/>
      <c r="X345" s="33"/>
      <c r="Y345" s="47"/>
      <c r="Z345" s="5"/>
    </row>
    <row r="346" spans="1:26" ht="20.25" customHeight="1">
      <c r="A346" s="51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125" t="s">
        <v>34</v>
      </c>
      <c r="P346" s="33"/>
      <c r="Q346" s="33"/>
      <c r="R346" s="33"/>
      <c r="S346" s="50">
        <f>SUBTOTAL(109,P350:P355)</f>
        <v>0</v>
      </c>
      <c r="T346" s="33"/>
      <c r="U346" s="33"/>
      <c r="V346" s="33"/>
      <c r="W346" s="33"/>
      <c r="X346" s="33"/>
      <c r="Y346" s="47"/>
      <c r="Z346" s="5"/>
    </row>
    <row r="347" spans="1:26" ht="20.2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126" t="s">
        <v>35</v>
      </c>
      <c r="P347" s="51"/>
      <c r="Q347" s="51"/>
      <c r="R347" s="51"/>
      <c r="S347" s="50">
        <f>S345-S346</f>
        <v>0</v>
      </c>
      <c r="T347" s="33"/>
      <c r="U347" s="33"/>
      <c r="V347" s="33"/>
      <c r="W347" s="33"/>
      <c r="X347" s="33"/>
      <c r="Y347" s="4"/>
      <c r="Z347" s="5"/>
    </row>
    <row r="348" spans="1:26" ht="15.75" customHeight="1">
      <c r="A348" s="127" t="s">
        <v>36</v>
      </c>
      <c r="B348" s="127" t="s">
        <v>37</v>
      </c>
      <c r="C348" s="128" t="s">
        <v>6</v>
      </c>
      <c r="D348" s="129" t="s">
        <v>50</v>
      </c>
      <c r="E348" s="130" t="s">
        <v>38</v>
      </c>
      <c r="F348" s="2"/>
      <c r="G348" s="2"/>
      <c r="H348" s="3"/>
      <c r="I348" s="127" t="s">
        <v>62</v>
      </c>
      <c r="J348" s="127" t="s">
        <v>40</v>
      </c>
      <c r="K348" s="131" t="s">
        <v>41</v>
      </c>
      <c r="L348" s="132" t="s">
        <v>42</v>
      </c>
      <c r="M348" s="132" t="s">
        <v>43</v>
      </c>
      <c r="N348" s="127" t="s">
        <v>44</v>
      </c>
      <c r="O348" s="131" t="s">
        <v>63</v>
      </c>
      <c r="P348" s="131" t="s">
        <v>64</v>
      </c>
      <c r="Q348" s="133" t="s">
        <v>67</v>
      </c>
      <c r="R348" s="2"/>
      <c r="S348" s="2"/>
      <c r="T348" s="2"/>
      <c r="U348" s="2"/>
      <c r="V348" s="3"/>
      <c r="W348" s="134" t="s">
        <v>48</v>
      </c>
      <c r="X348" s="135" t="s">
        <v>49</v>
      </c>
      <c r="Y348" s="4"/>
      <c r="Z348" s="5"/>
    </row>
    <row r="349" spans="1:26" ht="15.75" customHeight="1">
      <c r="A349" s="62"/>
      <c r="B349" s="62"/>
      <c r="C349" s="62"/>
      <c r="D349" s="34"/>
      <c r="E349" s="136" t="s">
        <v>51</v>
      </c>
      <c r="F349" s="136" t="s">
        <v>52</v>
      </c>
      <c r="G349" s="136" t="s">
        <v>53</v>
      </c>
      <c r="H349" s="136" t="s">
        <v>65</v>
      </c>
      <c r="I349" s="62"/>
      <c r="J349" s="62"/>
      <c r="K349" s="62"/>
      <c r="L349" s="62"/>
      <c r="M349" s="62"/>
      <c r="N349" s="62"/>
      <c r="O349" s="62"/>
      <c r="P349" s="62"/>
      <c r="Q349" s="137" t="s">
        <v>55</v>
      </c>
      <c r="R349" s="138" t="s">
        <v>56</v>
      </c>
      <c r="S349" s="138" t="s">
        <v>57</v>
      </c>
      <c r="T349" s="138" t="s">
        <v>58</v>
      </c>
      <c r="U349" s="139" t="s">
        <v>59</v>
      </c>
      <c r="V349" s="140" t="s">
        <v>60</v>
      </c>
      <c r="W349" s="51"/>
      <c r="X349" s="51"/>
      <c r="Y349" s="4"/>
      <c r="Z349" s="5"/>
    </row>
    <row r="350" spans="1:26" ht="15" customHeight="1">
      <c r="A350" s="69"/>
      <c r="B350" s="70"/>
      <c r="C350" s="71"/>
      <c r="D350" s="72"/>
      <c r="E350" s="72"/>
      <c r="F350" s="72"/>
      <c r="G350" s="72"/>
      <c r="H350" s="72"/>
      <c r="I350" s="73"/>
      <c r="J350" s="74"/>
      <c r="K350" s="73"/>
      <c r="L350" s="75"/>
      <c r="M350" s="73"/>
      <c r="N350" s="73" t="str">
        <f>IF(M350&lt;=$A$394,"FINALIZADO","ACTIVO")</f>
        <v>FINALIZADO</v>
      </c>
      <c r="O350" s="74"/>
      <c r="P350" s="76">
        <f>O350*4/1000+O350</f>
        <v>0</v>
      </c>
      <c r="Q350" s="77"/>
      <c r="R350" s="77"/>
      <c r="S350" s="77"/>
      <c r="T350" s="79"/>
      <c r="U350" s="79"/>
      <c r="V350" s="80">
        <f t="shared" ref="V350:V355" si="22">U350*4/1000+U350</f>
        <v>0</v>
      </c>
      <c r="W350" s="81">
        <f>P350-V350-V351-V352</f>
        <v>0</v>
      </c>
      <c r="X350" s="82"/>
      <c r="Y350" s="45"/>
      <c r="Z350" s="5"/>
    </row>
    <row r="351" spans="1:26" ht="15" customHeight="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77"/>
      <c r="R351" s="77"/>
      <c r="S351" s="77"/>
      <c r="T351" s="79"/>
      <c r="U351" s="79"/>
      <c r="V351" s="80">
        <f t="shared" si="22"/>
        <v>0</v>
      </c>
      <c r="W351" s="83"/>
      <c r="X351" s="83"/>
      <c r="Y351" s="45"/>
      <c r="Z351" s="5"/>
    </row>
    <row r="352" spans="1:26" ht="15" customHeight="1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77"/>
      <c r="R352" s="77"/>
      <c r="S352" s="77"/>
      <c r="T352" s="79"/>
      <c r="U352" s="79"/>
      <c r="V352" s="80">
        <f t="shared" si="22"/>
        <v>0</v>
      </c>
      <c r="W352" s="83"/>
      <c r="X352" s="83"/>
      <c r="Y352" s="45"/>
      <c r="Z352" s="5"/>
    </row>
    <row r="353" spans="1:26" ht="15" customHeight="1">
      <c r="A353" s="84"/>
      <c r="B353" s="85"/>
      <c r="C353" s="86"/>
      <c r="D353" s="87"/>
      <c r="E353" s="87"/>
      <c r="F353" s="87"/>
      <c r="G353" s="87"/>
      <c r="H353" s="87"/>
      <c r="I353" s="88"/>
      <c r="J353" s="89"/>
      <c r="K353" s="88"/>
      <c r="L353" s="90"/>
      <c r="M353" s="88"/>
      <c r="N353" s="88" t="str">
        <f>IF(M353&lt;=$A$394,"FINALIZADO","ACTIVO")</f>
        <v>FINALIZADO</v>
      </c>
      <c r="O353" s="89"/>
      <c r="P353" s="91">
        <f>O353*4/1000+O353</f>
        <v>0</v>
      </c>
      <c r="Q353" s="92"/>
      <c r="R353" s="92"/>
      <c r="S353" s="92"/>
      <c r="T353" s="93"/>
      <c r="U353" s="93"/>
      <c r="V353" s="94">
        <f t="shared" si="22"/>
        <v>0</v>
      </c>
      <c r="W353" s="95">
        <f>P353-V353-V354-V355</f>
        <v>0</v>
      </c>
      <c r="X353" s="96"/>
      <c r="Y353" s="45"/>
      <c r="Z353" s="5"/>
    </row>
    <row r="354" spans="1:26" ht="15" customHeight="1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92"/>
      <c r="R354" s="92"/>
      <c r="S354" s="92"/>
      <c r="T354" s="93"/>
      <c r="U354" s="93"/>
      <c r="V354" s="94">
        <f t="shared" si="22"/>
        <v>0</v>
      </c>
      <c r="W354" s="83"/>
      <c r="X354" s="83"/>
      <c r="Y354" s="45"/>
      <c r="Z354" s="5"/>
    </row>
    <row r="355" spans="1:26" ht="15" customHeight="1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92"/>
      <c r="R355" s="92"/>
      <c r="S355" s="92"/>
      <c r="T355" s="93"/>
      <c r="U355" s="93"/>
      <c r="V355" s="94">
        <f t="shared" si="22"/>
        <v>0</v>
      </c>
      <c r="W355" s="83"/>
      <c r="X355" s="83"/>
      <c r="Y355" s="45"/>
      <c r="Z355" s="5"/>
    </row>
    <row r="356" spans="1:26" ht="9.75" customHeight="1">
      <c r="A356" s="97"/>
      <c r="B356" s="97"/>
      <c r="C356" s="98"/>
      <c r="D356" s="45"/>
      <c r="E356" s="45"/>
      <c r="F356" s="45"/>
      <c r="G356" s="45"/>
      <c r="H356" s="45"/>
      <c r="I356" s="97"/>
      <c r="J356" s="97"/>
      <c r="K356" s="97"/>
      <c r="L356" s="97"/>
      <c r="M356" s="97"/>
      <c r="N356" s="97"/>
      <c r="O356" s="45"/>
      <c r="P356" s="99"/>
      <c r="Q356" s="100"/>
      <c r="R356" s="97"/>
      <c r="S356" s="101"/>
      <c r="T356" s="101"/>
      <c r="U356" s="101"/>
      <c r="V356" s="101"/>
      <c r="W356" s="102"/>
      <c r="X356" s="45"/>
      <c r="Y356" s="45"/>
      <c r="Z356" s="5"/>
    </row>
    <row r="357" spans="1:26" ht="30.75" customHeight="1">
      <c r="A357" s="141" t="s">
        <v>90</v>
      </c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47"/>
      <c r="Z357" s="5"/>
    </row>
    <row r="358" spans="1:26" ht="21.75" customHeight="1">
      <c r="A358" s="48" t="s">
        <v>31</v>
      </c>
      <c r="B358" s="106" t="s">
        <v>91</v>
      </c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142" t="s">
        <v>33</v>
      </c>
      <c r="P358" s="33"/>
      <c r="Q358" s="33"/>
      <c r="R358" s="33"/>
      <c r="S358" s="50"/>
      <c r="T358" s="33"/>
      <c r="U358" s="33"/>
      <c r="V358" s="33"/>
      <c r="W358" s="33"/>
      <c r="X358" s="33"/>
      <c r="Y358" s="47"/>
      <c r="Z358" s="5"/>
    </row>
    <row r="359" spans="1:26" ht="20.25" customHeight="1">
      <c r="A359" s="51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142" t="s">
        <v>34</v>
      </c>
      <c r="P359" s="33"/>
      <c r="Q359" s="33"/>
      <c r="R359" s="33"/>
      <c r="S359" s="50">
        <f>SUBTOTAL(109,P363:P368)</f>
        <v>0</v>
      </c>
      <c r="T359" s="33"/>
      <c r="U359" s="33"/>
      <c r="V359" s="33"/>
      <c r="W359" s="33"/>
      <c r="X359" s="33"/>
      <c r="Y359" s="47"/>
      <c r="Z359" s="5"/>
    </row>
    <row r="360" spans="1:26" ht="20.2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143" t="s">
        <v>35</v>
      </c>
      <c r="P360" s="51"/>
      <c r="Q360" s="51"/>
      <c r="R360" s="51"/>
      <c r="S360" s="50">
        <f>S358-S359</f>
        <v>0</v>
      </c>
      <c r="T360" s="33"/>
      <c r="U360" s="33"/>
      <c r="V360" s="33"/>
      <c r="W360" s="33"/>
      <c r="X360" s="33"/>
      <c r="Y360" s="4"/>
      <c r="Z360" s="5"/>
    </row>
    <row r="361" spans="1:26" ht="15.75" customHeight="1">
      <c r="A361" s="144" t="s">
        <v>36</v>
      </c>
      <c r="B361" s="144" t="s">
        <v>37</v>
      </c>
      <c r="C361" s="145" t="s">
        <v>6</v>
      </c>
      <c r="D361" s="146" t="s">
        <v>50</v>
      </c>
      <c r="E361" s="147" t="s">
        <v>38</v>
      </c>
      <c r="F361" s="2"/>
      <c r="G361" s="2"/>
      <c r="H361" s="3"/>
      <c r="I361" s="144" t="s">
        <v>62</v>
      </c>
      <c r="J361" s="144" t="s">
        <v>40</v>
      </c>
      <c r="K361" s="148" t="s">
        <v>41</v>
      </c>
      <c r="L361" s="149" t="s">
        <v>42</v>
      </c>
      <c r="M361" s="149" t="s">
        <v>43</v>
      </c>
      <c r="N361" s="144" t="s">
        <v>44</v>
      </c>
      <c r="O361" s="148" t="s">
        <v>63</v>
      </c>
      <c r="P361" s="148" t="s">
        <v>64</v>
      </c>
      <c r="Q361" s="150" t="s">
        <v>67</v>
      </c>
      <c r="R361" s="2"/>
      <c r="S361" s="2"/>
      <c r="T361" s="2"/>
      <c r="U361" s="2"/>
      <c r="V361" s="3"/>
      <c r="W361" s="151" t="s">
        <v>48</v>
      </c>
      <c r="X361" s="152" t="s">
        <v>49</v>
      </c>
      <c r="Y361" s="4"/>
      <c r="Z361" s="5"/>
    </row>
    <row r="362" spans="1:26" ht="15.75" customHeight="1">
      <c r="A362" s="62"/>
      <c r="B362" s="62"/>
      <c r="C362" s="62"/>
      <c r="D362" s="34"/>
      <c r="E362" s="153" t="s">
        <v>51</v>
      </c>
      <c r="F362" s="153" t="s">
        <v>52</v>
      </c>
      <c r="G362" s="153" t="s">
        <v>53</v>
      </c>
      <c r="H362" s="153" t="s">
        <v>65</v>
      </c>
      <c r="I362" s="62"/>
      <c r="J362" s="62"/>
      <c r="K362" s="62"/>
      <c r="L362" s="62"/>
      <c r="M362" s="62"/>
      <c r="N362" s="62"/>
      <c r="O362" s="62"/>
      <c r="P362" s="62"/>
      <c r="Q362" s="154" t="s">
        <v>55</v>
      </c>
      <c r="R362" s="155" t="s">
        <v>56</v>
      </c>
      <c r="S362" s="155" t="s">
        <v>57</v>
      </c>
      <c r="T362" s="155" t="s">
        <v>58</v>
      </c>
      <c r="U362" s="156" t="s">
        <v>59</v>
      </c>
      <c r="V362" s="157" t="s">
        <v>60</v>
      </c>
      <c r="W362" s="51"/>
      <c r="X362" s="51"/>
      <c r="Y362" s="4"/>
      <c r="Z362" s="5"/>
    </row>
    <row r="363" spans="1:26" ht="15" customHeight="1">
      <c r="A363" s="69"/>
      <c r="B363" s="70"/>
      <c r="C363" s="71"/>
      <c r="D363" s="72"/>
      <c r="E363" s="72"/>
      <c r="F363" s="72"/>
      <c r="G363" s="72"/>
      <c r="H363" s="72"/>
      <c r="I363" s="73"/>
      <c r="J363" s="74"/>
      <c r="K363" s="73"/>
      <c r="L363" s="75"/>
      <c r="M363" s="73"/>
      <c r="N363" s="73" t="str">
        <f>IF(M363&lt;=$A$394,"FINALIZADO","ACTIVO")</f>
        <v>FINALIZADO</v>
      </c>
      <c r="O363" s="74"/>
      <c r="P363" s="76">
        <f>O363*4/1000+O363</f>
        <v>0</v>
      </c>
      <c r="Q363" s="77"/>
      <c r="R363" s="77"/>
      <c r="S363" s="77"/>
      <c r="T363" s="79"/>
      <c r="U363" s="79"/>
      <c r="V363" s="80">
        <f t="shared" ref="V363:V368" si="23">U363*4/1000+U363</f>
        <v>0</v>
      </c>
      <c r="W363" s="81">
        <f>P363-V363-V364-V365</f>
        <v>0</v>
      </c>
      <c r="X363" s="82"/>
      <c r="Y363" s="45"/>
      <c r="Z363" s="5"/>
    </row>
    <row r="364" spans="1:26" ht="15" customHeight="1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77"/>
      <c r="R364" s="77"/>
      <c r="S364" s="77"/>
      <c r="T364" s="79"/>
      <c r="U364" s="79"/>
      <c r="V364" s="80">
        <f t="shared" si="23"/>
        <v>0</v>
      </c>
      <c r="W364" s="83"/>
      <c r="X364" s="83"/>
      <c r="Y364" s="45"/>
      <c r="Z364" s="5"/>
    </row>
    <row r="365" spans="1:26" ht="15" customHeight="1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77"/>
      <c r="R365" s="77"/>
      <c r="S365" s="77"/>
      <c r="T365" s="79"/>
      <c r="U365" s="79"/>
      <c r="V365" s="80">
        <f t="shared" si="23"/>
        <v>0</v>
      </c>
      <c r="W365" s="83"/>
      <c r="X365" s="83"/>
      <c r="Y365" s="45"/>
      <c r="Z365" s="5"/>
    </row>
    <row r="366" spans="1:26" ht="15" customHeight="1">
      <c r="A366" s="84"/>
      <c r="B366" s="85"/>
      <c r="C366" s="86"/>
      <c r="D366" s="87"/>
      <c r="E366" s="87"/>
      <c r="F366" s="87"/>
      <c r="G366" s="87"/>
      <c r="H366" s="87"/>
      <c r="I366" s="88"/>
      <c r="J366" s="89"/>
      <c r="K366" s="88"/>
      <c r="L366" s="90"/>
      <c r="M366" s="88"/>
      <c r="N366" s="88" t="str">
        <f>IF(M366&lt;=$A$394,"FINALIZADO","ACTIVO")</f>
        <v>FINALIZADO</v>
      </c>
      <c r="O366" s="89"/>
      <c r="P366" s="91">
        <f>O366*4/1000+O366</f>
        <v>0</v>
      </c>
      <c r="Q366" s="92"/>
      <c r="R366" s="92"/>
      <c r="S366" s="92"/>
      <c r="T366" s="93"/>
      <c r="U366" s="93"/>
      <c r="V366" s="94">
        <f t="shared" si="23"/>
        <v>0</v>
      </c>
      <c r="W366" s="95">
        <f>P366-V366-V367-V368</f>
        <v>0</v>
      </c>
      <c r="X366" s="96"/>
      <c r="Y366" s="45"/>
      <c r="Z366" s="5"/>
    </row>
    <row r="367" spans="1:26" ht="15" customHeight="1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92"/>
      <c r="R367" s="92"/>
      <c r="S367" s="92"/>
      <c r="T367" s="93"/>
      <c r="U367" s="93"/>
      <c r="V367" s="94">
        <f t="shared" si="23"/>
        <v>0</v>
      </c>
      <c r="W367" s="83"/>
      <c r="X367" s="83"/>
      <c r="Y367" s="45"/>
      <c r="Z367" s="5"/>
    </row>
    <row r="368" spans="1:26" ht="15" customHeight="1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92"/>
      <c r="R368" s="92"/>
      <c r="S368" s="92"/>
      <c r="T368" s="93"/>
      <c r="U368" s="93"/>
      <c r="V368" s="94">
        <f t="shared" si="23"/>
        <v>0</v>
      </c>
      <c r="W368" s="83"/>
      <c r="X368" s="83"/>
      <c r="Y368" s="45"/>
      <c r="Z368" s="5"/>
    </row>
    <row r="369" spans="1:26" ht="9.75" customHeight="1">
      <c r="A369" s="97"/>
      <c r="B369" s="97"/>
      <c r="C369" s="98"/>
      <c r="D369" s="45"/>
      <c r="E369" s="45"/>
      <c r="F369" s="45"/>
      <c r="G369" s="45"/>
      <c r="H369" s="45"/>
      <c r="I369" s="97"/>
      <c r="J369" s="97"/>
      <c r="K369" s="97"/>
      <c r="L369" s="97"/>
      <c r="M369" s="97"/>
      <c r="N369" s="97"/>
      <c r="O369" s="45"/>
      <c r="P369" s="99"/>
      <c r="Q369" s="100"/>
      <c r="R369" s="97"/>
      <c r="S369" s="101"/>
      <c r="T369" s="101"/>
      <c r="U369" s="101"/>
      <c r="V369" s="101"/>
      <c r="W369" s="102"/>
      <c r="X369" s="45"/>
      <c r="Y369" s="45"/>
      <c r="Z369" s="5"/>
    </row>
    <row r="370" spans="1:26" ht="30.75" customHeight="1">
      <c r="A370" s="158" t="s">
        <v>92</v>
      </c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47"/>
      <c r="Z370" s="5"/>
    </row>
    <row r="371" spans="1:26" ht="21.75" customHeight="1">
      <c r="A371" s="159" t="s">
        <v>31</v>
      </c>
      <c r="B371" s="106" t="s">
        <v>74</v>
      </c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160" t="s">
        <v>33</v>
      </c>
      <c r="P371" s="33"/>
      <c r="Q371" s="33"/>
      <c r="R371" s="33"/>
      <c r="S371" s="50"/>
      <c r="T371" s="33"/>
      <c r="U371" s="33"/>
      <c r="V371" s="33"/>
      <c r="W371" s="33"/>
      <c r="X371" s="33"/>
      <c r="Y371" s="47"/>
      <c r="Z371" s="5"/>
    </row>
    <row r="372" spans="1:26" ht="20.25" customHeight="1">
      <c r="A372" s="51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160" t="s">
        <v>34</v>
      </c>
      <c r="P372" s="33"/>
      <c r="Q372" s="33"/>
      <c r="R372" s="33"/>
      <c r="S372" s="50">
        <f>SUBTOTAL(109,P376:P381)</f>
        <v>0</v>
      </c>
      <c r="T372" s="33"/>
      <c r="U372" s="33"/>
      <c r="V372" s="33"/>
      <c r="W372" s="33"/>
      <c r="X372" s="33"/>
      <c r="Y372" s="47"/>
      <c r="Z372" s="5"/>
    </row>
    <row r="373" spans="1:26" ht="20.2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161" t="s">
        <v>35</v>
      </c>
      <c r="P373" s="51"/>
      <c r="Q373" s="51"/>
      <c r="R373" s="51"/>
      <c r="S373" s="50">
        <f>S371-S372</f>
        <v>0</v>
      </c>
      <c r="T373" s="33"/>
      <c r="U373" s="33"/>
      <c r="V373" s="33"/>
      <c r="W373" s="33"/>
      <c r="X373" s="33"/>
      <c r="Y373" s="4"/>
      <c r="Z373" s="5"/>
    </row>
    <row r="374" spans="1:26" ht="15.75" customHeight="1">
      <c r="A374" s="162" t="s">
        <v>36</v>
      </c>
      <c r="B374" s="162" t="s">
        <v>37</v>
      </c>
      <c r="C374" s="163" t="s">
        <v>6</v>
      </c>
      <c r="D374" s="164" t="s">
        <v>50</v>
      </c>
      <c r="E374" s="165" t="s">
        <v>38</v>
      </c>
      <c r="F374" s="2"/>
      <c r="G374" s="2"/>
      <c r="H374" s="3"/>
      <c r="I374" s="162" t="s">
        <v>62</v>
      </c>
      <c r="J374" s="162" t="s">
        <v>40</v>
      </c>
      <c r="K374" s="166" t="s">
        <v>41</v>
      </c>
      <c r="L374" s="167" t="s">
        <v>42</v>
      </c>
      <c r="M374" s="167" t="s">
        <v>43</v>
      </c>
      <c r="N374" s="162" t="s">
        <v>44</v>
      </c>
      <c r="O374" s="166" t="s">
        <v>63</v>
      </c>
      <c r="P374" s="166" t="s">
        <v>64</v>
      </c>
      <c r="Q374" s="168" t="s">
        <v>67</v>
      </c>
      <c r="R374" s="2"/>
      <c r="S374" s="2"/>
      <c r="T374" s="2"/>
      <c r="U374" s="2"/>
      <c r="V374" s="3"/>
      <c r="W374" s="169" t="s">
        <v>48</v>
      </c>
      <c r="X374" s="170" t="s">
        <v>49</v>
      </c>
      <c r="Y374" s="4"/>
      <c r="Z374" s="5"/>
    </row>
    <row r="375" spans="1:26" ht="15.75" customHeight="1">
      <c r="A375" s="62"/>
      <c r="B375" s="62"/>
      <c r="C375" s="62"/>
      <c r="D375" s="34"/>
      <c r="E375" s="171" t="s">
        <v>51</v>
      </c>
      <c r="F375" s="171" t="s">
        <v>52</v>
      </c>
      <c r="G375" s="171" t="s">
        <v>53</v>
      </c>
      <c r="H375" s="171" t="s">
        <v>65</v>
      </c>
      <c r="I375" s="62"/>
      <c r="J375" s="62"/>
      <c r="K375" s="62"/>
      <c r="L375" s="62"/>
      <c r="M375" s="62"/>
      <c r="N375" s="62"/>
      <c r="O375" s="62"/>
      <c r="P375" s="62"/>
      <c r="Q375" s="172" t="s">
        <v>55</v>
      </c>
      <c r="R375" s="173" t="s">
        <v>56</v>
      </c>
      <c r="S375" s="173" t="s">
        <v>57</v>
      </c>
      <c r="T375" s="173" t="s">
        <v>58</v>
      </c>
      <c r="U375" s="174" t="s">
        <v>59</v>
      </c>
      <c r="V375" s="175" t="s">
        <v>60</v>
      </c>
      <c r="W375" s="51"/>
      <c r="X375" s="51"/>
      <c r="Y375" s="4"/>
      <c r="Z375" s="5"/>
    </row>
    <row r="376" spans="1:26" ht="15" customHeight="1">
      <c r="A376" s="69"/>
      <c r="B376" s="70"/>
      <c r="C376" s="71"/>
      <c r="D376" s="72"/>
      <c r="E376" s="72"/>
      <c r="F376" s="72"/>
      <c r="G376" s="72"/>
      <c r="H376" s="72"/>
      <c r="I376" s="73"/>
      <c r="J376" s="74"/>
      <c r="K376" s="73"/>
      <c r="L376" s="75"/>
      <c r="M376" s="73"/>
      <c r="N376" s="73" t="str">
        <f>IF(M376&lt;=$A$394,"FINALIZADO","ACTIVO")</f>
        <v>FINALIZADO</v>
      </c>
      <c r="O376" s="74"/>
      <c r="P376" s="76">
        <f>O376*4/1000+O376</f>
        <v>0</v>
      </c>
      <c r="Q376" s="77"/>
      <c r="R376" s="77"/>
      <c r="S376" s="77"/>
      <c r="T376" s="79"/>
      <c r="U376" s="79"/>
      <c r="V376" s="80">
        <f t="shared" ref="V376:V381" si="24">U376*4/1000+U376</f>
        <v>0</v>
      </c>
      <c r="W376" s="81">
        <f>P376-V376-V377-V378</f>
        <v>0</v>
      </c>
      <c r="X376" s="82"/>
      <c r="Y376" s="45"/>
      <c r="Z376" s="5"/>
    </row>
    <row r="377" spans="1:26" ht="15" customHeight="1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77"/>
      <c r="R377" s="77"/>
      <c r="S377" s="77"/>
      <c r="T377" s="79"/>
      <c r="U377" s="79"/>
      <c r="V377" s="80">
        <f t="shared" si="24"/>
        <v>0</v>
      </c>
      <c r="W377" s="83"/>
      <c r="X377" s="83"/>
      <c r="Y377" s="45"/>
      <c r="Z377" s="5"/>
    </row>
    <row r="378" spans="1:26" ht="15" customHeight="1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77"/>
      <c r="R378" s="77"/>
      <c r="S378" s="77"/>
      <c r="T378" s="79"/>
      <c r="U378" s="79"/>
      <c r="V378" s="80">
        <f t="shared" si="24"/>
        <v>0</v>
      </c>
      <c r="W378" s="83"/>
      <c r="X378" s="83"/>
      <c r="Y378" s="45"/>
      <c r="Z378" s="5"/>
    </row>
    <row r="379" spans="1:26" ht="15" customHeight="1">
      <c r="A379" s="84"/>
      <c r="B379" s="85"/>
      <c r="C379" s="86"/>
      <c r="D379" s="87"/>
      <c r="E379" s="87"/>
      <c r="F379" s="87"/>
      <c r="G379" s="87"/>
      <c r="H379" s="87"/>
      <c r="I379" s="88"/>
      <c r="J379" s="89"/>
      <c r="K379" s="88"/>
      <c r="L379" s="90"/>
      <c r="M379" s="88"/>
      <c r="N379" s="88" t="str">
        <f>IF(M379&lt;=$A$394,"FINALIZADO","ACTIVO")</f>
        <v>FINALIZADO</v>
      </c>
      <c r="O379" s="89"/>
      <c r="P379" s="91">
        <f>O379*4/1000+O379</f>
        <v>0</v>
      </c>
      <c r="Q379" s="92"/>
      <c r="R379" s="92"/>
      <c r="S379" s="92"/>
      <c r="T379" s="93"/>
      <c r="U379" s="93"/>
      <c r="V379" s="94">
        <f t="shared" si="24"/>
        <v>0</v>
      </c>
      <c r="W379" s="95">
        <f>P379-V379-V380-V381</f>
        <v>0</v>
      </c>
      <c r="X379" s="96"/>
      <c r="Y379" s="45"/>
      <c r="Z379" s="5"/>
    </row>
    <row r="380" spans="1:26" ht="15" customHeight="1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92"/>
      <c r="R380" s="92"/>
      <c r="S380" s="92"/>
      <c r="T380" s="93"/>
      <c r="U380" s="93"/>
      <c r="V380" s="94">
        <f t="shared" si="24"/>
        <v>0</v>
      </c>
      <c r="W380" s="83"/>
      <c r="X380" s="83"/>
      <c r="Y380" s="45"/>
      <c r="Z380" s="5"/>
    </row>
    <row r="381" spans="1:26" ht="15" customHeight="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92"/>
      <c r="R381" s="92"/>
      <c r="S381" s="92"/>
      <c r="T381" s="93"/>
      <c r="U381" s="93"/>
      <c r="V381" s="94">
        <f t="shared" si="24"/>
        <v>0</v>
      </c>
      <c r="W381" s="83"/>
      <c r="X381" s="83"/>
      <c r="Y381" s="45"/>
      <c r="Z381" s="5"/>
    </row>
    <row r="382" spans="1:26" ht="9.75" customHeight="1">
      <c r="A382" s="97"/>
      <c r="B382" s="97"/>
      <c r="C382" s="98"/>
      <c r="D382" s="45"/>
      <c r="E382" s="45"/>
      <c r="F382" s="45"/>
      <c r="G382" s="45"/>
      <c r="H382" s="45"/>
      <c r="I382" s="97"/>
      <c r="J382" s="97"/>
      <c r="K382" s="97"/>
      <c r="L382" s="97"/>
      <c r="M382" s="97"/>
      <c r="N382" s="97"/>
      <c r="O382" s="45"/>
      <c r="P382" s="99"/>
      <c r="Q382" s="100"/>
      <c r="R382" s="97"/>
      <c r="S382" s="101"/>
      <c r="T382" s="101"/>
      <c r="U382" s="101"/>
      <c r="V382" s="101"/>
      <c r="W382" s="102"/>
      <c r="X382" s="45"/>
      <c r="Y382" s="45"/>
      <c r="Z382" s="5"/>
    </row>
    <row r="383" spans="1:26" ht="21.75" customHeight="1">
      <c r="A383" s="159" t="s">
        <v>31</v>
      </c>
      <c r="B383" s="106" t="s">
        <v>75</v>
      </c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160" t="s">
        <v>33</v>
      </c>
      <c r="P383" s="33"/>
      <c r="Q383" s="33"/>
      <c r="R383" s="33"/>
      <c r="S383" s="50"/>
      <c r="T383" s="33"/>
      <c r="U383" s="33"/>
      <c r="V383" s="33"/>
      <c r="W383" s="33"/>
      <c r="X383" s="33"/>
      <c r="Y383" s="47"/>
      <c r="Z383" s="5"/>
    </row>
    <row r="384" spans="1:26" ht="20.25" customHeight="1">
      <c r="A384" s="51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160" t="s">
        <v>34</v>
      </c>
      <c r="P384" s="33"/>
      <c r="Q384" s="33"/>
      <c r="R384" s="33"/>
      <c r="S384" s="50">
        <f>SUBTOTAL(109,P388:P393)</f>
        <v>0</v>
      </c>
      <c r="T384" s="33"/>
      <c r="U384" s="33"/>
      <c r="V384" s="33"/>
      <c r="W384" s="33"/>
      <c r="X384" s="33"/>
      <c r="Y384" s="47"/>
      <c r="Z384" s="5"/>
    </row>
    <row r="385" spans="1:26" ht="20.2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161" t="s">
        <v>35</v>
      </c>
      <c r="P385" s="51"/>
      <c r="Q385" s="51"/>
      <c r="R385" s="51"/>
      <c r="S385" s="50">
        <f>S383-S384</f>
        <v>0</v>
      </c>
      <c r="T385" s="33"/>
      <c r="U385" s="33"/>
      <c r="V385" s="33"/>
      <c r="W385" s="33"/>
      <c r="X385" s="33"/>
      <c r="Y385" s="4"/>
      <c r="Z385" s="5"/>
    </row>
    <row r="386" spans="1:26" ht="15.75" customHeight="1">
      <c r="A386" s="162" t="s">
        <v>36</v>
      </c>
      <c r="B386" s="162" t="s">
        <v>37</v>
      </c>
      <c r="C386" s="163" t="s">
        <v>6</v>
      </c>
      <c r="D386" s="164" t="s">
        <v>50</v>
      </c>
      <c r="E386" s="165" t="s">
        <v>38</v>
      </c>
      <c r="F386" s="2"/>
      <c r="G386" s="2"/>
      <c r="H386" s="3"/>
      <c r="I386" s="162" t="s">
        <v>62</v>
      </c>
      <c r="J386" s="162" t="s">
        <v>40</v>
      </c>
      <c r="K386" s="166" t="s">
        <v>41</v>
      </c>
      <c r="L386" s="167" t="s">
        <v>42</v>
      </c>
      <c r="M386" s="167" t="s">
        <v>43</v>
      </c>
      <c r="N386" s="162" t="s">
        <v>44</v>
      </c>
      <c r="O386" s="166" t="s">
        <v>63</v>
      </c>
      <c r="P386" s="166" t="s">
        <v>64</v>
      </c>
      <c r="Q386" s="168" t="s">
        <v>67</v>
      </c>
      <c r="R386" s="2"/>
      <c r="S386" s="2"/>
      <c r="T386" s="2"/>
      <c r="U386" s="2"/>
      <c r="V386" s="3"/>
      <c r="W386" s="169" t="s">
        <v>48</v>
      </c>
      <c r="X386" s="170" t="s">
        <v>49</v>
      </c>
      <c r="Y386" s="4"/>
      <c r="Z386" s="5"/>
    </row>
    <row r="387" spans="1:26" ht="15.75" customHeight="1">
      <c r="A387" s="62"/>
      <c r="B387" s="62"/>
      <c r="C387" s="62"/>
      <c r="D387" s="34"/>
      <c r="E387" s="171" t="s">
        <v>51</v>
      </c>
      <c r="F387" s="171" t="s">
        <v>52</v>
      </c>
      <c r="G387" s="171" t="s">
        <v>53</v>
      </c>
      <c r="H387" s="171" t="s">
        <v>65</v>
      </c>
      <c r="I387" s="62"/>
      <c r="J387" s="62"/>
      <c r="K387" s="62"/>
      <c r="L387" s="62"/>
      <c r="M387" s="62"/>
      <c r="N387" s="62"/>
      <c r="O387" s="62"/>
      <c r="P387" s="62"/>
      <c r="Q387" s="172" t="s">
        <v>55</v>
      </c>
      <c r="R387" s="173" t="s">
        <v>56</v>
      </c>
      <c r="S387" s="173" t="s">
        <v>57</v>
      </c>
      <c r="T387" s="173" t="s">
        <v>58</v>
      </c>
      <c r="U387" s="174" t="s">
        <v>59</v>
      </c>
      <c r="V387" s="175" t="s">
        <v>60</v>
      </c>
      <c r="W387" s="51"/>
      <c r="X387" s="51"/>
      <c r="Y387" s="4"/>
      <c r="Z387" s="5"/>
    </row>
    <row r="388" spans="1:26" ht="15" customHeight="1">
      <c r="A388" s="69"/>
      <c r="B388" s="70"/>
      <c r="C388" s="71"/>
      <c r="D388" s="72"/>
      <c r="E388" s="72"/>
      <c r="F388" s="72"/>
      <c r="G388" s="72"/>
      <c r="H388" s="72"/>
      <c r="I388" s="73"/>
      <c r="J388" s="74"/>
      <c r="K388" s="73"/>
      <c r="L388" s="75"/>
      <c r="M388" s="73"/>
      <c r="N388" s="73" t="str">
        <f>IF(M388&lt;=$A$394,"FINALIZADO","ACTIVO")</f>
        <v>FINALIZADO</v>
      </c>
      <c r="O388" s="74"/>
      <c r="P388" s="76">
        <f>O388*4/1000+O388</f>
        <v>0</v>
      </c>
      <c r="Q388" s="77"/>
      <c r="R388" s="77"/>
      <c r="S388" s="77"/>
      <c r="T388" s="79"/>
      <c r="U388" s="79"/>
      <c r="V388" s="80">
        <f t="shared" ref="V388:V393" si="25">U388*4/1000+U388</f>
        <v>0</v>
      </c>
      <c r="W388" s="81">
        <f>P388-V388-V389-V390</f>
        <v>0</v>
      </c>
      <c r="X388" s="82"/>
      <c r="Y388" s="45"/>
      <c r="Z388" s="5"/>
    </row>
    <row r="389" spans="1:26" ht="15" customHeight="1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77"/>
      <c r="R389" s="77"/>
      <c r="S389" s="77"/>
      <c r="T389" s="79"/>
      <c r="U389" s="79"/>
      <c r="V389" s="80">
        <f t="shared" si="25"/>
        <v>0</v>
      </c>
      <c r="W389" s="83"/>
      <c r="X389" s="83"/>
      <c r="Y389" s="45"/>
      <c r="Z389" s="5"/>
    </row>
    <row r="390" spans="1:26" ht="15" customHeight="1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77"/>
      <c r="R390" s="77"/>
      <c r="S390" s="77"/>
      <c r="T390" s="79"/>
      <c r="U390" s="79"/>
      <c r="V390" s="80">
        <f t="shared" si="25"/>
        <v>0</v>
      </c>
      <c r="W390" s="83"/>
      <c r="X390" s="83"/>
      <c r="Y390" s="45"/>
      <c r="Z390" s="5"/>
    </row>
    <row r="391" spans="1:26" ht="15" customHeight="1">
      <c r="A391" s="84"/>
      <c r="B391" s="85"/>
      <c r="C391" s="86"/>
      <c r="D391" s="87"/>
      <c r="E391" s="87"/>
      <c r="F391" s="87"/>
      <c r="G391" s="87"/>
      <c r="H391" s="87"/>
      <c r="I391" s="88"/>
      <c r="J391" s="89"/>
      <c r="K391" s="88"/>
      <c r="L391" s="90"/>
      <c r="M391" s="88"/>
      <c r="N391" s="88" t="str">
        <f>IF(M391&lt;=$A$394,"FINALIZADO","ACTIVO")</f>
        <v>FINALIZADO</v>
      </c>
      <c r="O391" s="89"/>
      <c r="P391" s="91">
        <f>O391*4/1000+O391</f>
        <v>0</v>
      </c>
      <c r="Q391" s="92"/>
      <c r="R391" s="92"/>
      <c r="S391" s="92"/>
      <c r="T391" s="93"/>
      <c r="U391" s="93"/>
      <c r="V391" s="94">
        <f t="shared" si="25"/>
        <v>0</v>
      </c>
      <c r="W391" s="95">
        <f>P391-V391-V392-V393</f>
        <v>0</v>
      </c>
      <c r="X391" s="96"/>
      <c r="Y391" s="45"/>
      <c r="Z391" s="5"/>
    </row>
    <row r="392" spans="1:26" ht="15" customHeight="1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92"/>
      <c r="R392" s="92"/>
      <c r="S392" s="92"/>
      <c r="T392" s="93"/>
      <c r="U392" s="93"/>
      <c r="V392" s="94">
        <f t="shared" si="25"/>
        <v>0</v>
      </c>
      <c r="W392" s="83"/>
      <c r="X392" s="83"/>
      <c r="Y392" s="45"/>
      <c r="Z392" s="5"/>
    </row>
    <row r="393" spans="1:26" ht="15" customHeight="1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92"/>
      <c r="R393" s="92"/>
      <c r="S393" s="92"/>
      <c r="T393" s="93"/>
      <c r="U393" s="93"/>
      <c r="V393" s="94">
        <f t="shared" si="25"/>
        <v>0</v>
      </c>
      <c r="W393" s="83"/>
      <c r="X393" s="83"/>
      <c r="Y393" s="45"/>
      <c r="Z393" s="5"/>
    </row>
    <row r="394" spans="1:26" ht="9.75" customHeight="1">
      <c r="A394" s="176">
        <v>43957</v>
      </c>
      <c r="B394" s="97"/>
      <c r="C394" s="98"/>
      <c r="D394" s="45"/>
      <c r="E394" s="45"/>
      <c r="F394" s="45"/>
      <c r="G394" s="45"/>
      <c r="H394" s="45"/>
      <c r="I394" s="97"/>
      <c r="J394" s="97"/>
      <c r="K394" s="97"/>
      <c r="L394" s="97"/>
      <c r="M394" s="97"/>
      <c r="N394" s="97"/>
      <c r="O394" s="45"/>
      <c r="P394" s="99"/>
      <c r="Q394" s="100"/>
      <c r="R394" s="97"/>
      <c r="S394" s="101"/>
      <c r="T394" s="101"/>
      <c r="U394" s="101"/>
      <c r="V394" s="101"/>
      <c r="W394" s="102"/>
      <c r="X394" s="45"/>
      <c r="Y394" s="45"/>
      <c r="Z394" s="5"/>
    </row>
    <row r="395" spans="1:26" ht="15.75" customHeight="1">
      <c r="A395" s="141" t="s">
        <v>93</v>
      </c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5"/>
      <c r="Z395" s="5"/>
    </row>
    <row r="396" spans="1:26" ht="150">
      <c r="A396" s="177" t="s">
        <v>94</v>
      </c>
      <c r="B396" s="178" t="s">
        <v>95</v>
      </c>
      <c r="C396" s="178" t="s">
        <v>96</v>
      </c>
      <c r="D396" s="179" t="s">
        <v>97</v>
      </c>
      <c r="E396" s="180" t="s">
        <v>98</v>
      </c>
      <c r="F396" s="180" t="s">
        <v>99</v>
      </c>
      <c r="G396" s="181" t="s">
        <v>100</v>
      </c>
      <c r="H396" s="181" t="s">
        <v>101</v>
      </c>
      <c r="I396" s="181" t="s">
        <v>102</v>
      </c>
      <c r="J396" s="181" t="s">
        <v>103</v>
      </c>
      <c r="K396" s="181" t="s">
        <v>104</v>
      </c>
      <c r="L396" s="181" t="s">
        <v>105</v>
      </c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797">
    <mergeCell ref="A395:X395"/>
    <mergeCell ref="M391:M393"/>
    <mergeCell ref="N391:N393"/>
    <mergeCell ref="O391:O393"/>
    <mergeCell ref="P391:P393"/>
    <mergeCell ref="W391:W393"/>
    <mergeCell ref="X391:X393"/>
    <mergeCell ref="G391:G393"/>
    <mergeCell ref="H391:H393"/>
    <mergeCell ref="I391:I393"/>
    <mergeCell ref="J391:J393"/>
    <mergeCell ref="K391:K393"/>
    <mergeCell ref="L391:L393"/>
    <mergeCell ref="A391:A393"/>
    <mergeCell ref="B391:B393"/>
    <mergeCell ref="C391:C393"/>
    <mergeCell ref="D391:D393"/>
    <mergeCell ref="E391:E393"/>
    <mergeCell ref="F391:F393"/>
    <mergeCell ref="M388:M390"/>
    <mergeCell ref="N388:N390"/>
    <mergeCell ref="O388:O390"/>
    <mergeCell ref="P388:P390"/>
    <mergeCell ref="W388:W390"/>
    <mergeCell ref="X388:X390"/>
    <mergeCell ref="G388:G390"/>
    <mergeCell ref="H388:H390"/>
    <mergeCell ref="I388:I390"/>
    <mergeCell ref="J388:J390"/>
    <mergeCell ref="K388:K390"/>
    <mergeCell ref="L388:L390"/>
    <mergeCell ref="P386:P387"/>
    <mergeCell ref="Q386:V386"/>
    <mergeCell ref="W386:W387"/>
    <mergeCell ref="X386:X387"/>
    <mergeCell ref="A388:A390"/>
    <mergeCell ref="B388:B390"/>
    <mergeCell ref="C388:C390"/>
    <mergeCell ref="D388:D390"/>
    <mergeCell ref="E388:E390"/>
    <mergeCell ref="F388:F390"/>
    <mergeCell ref="J386:J387"/>
    <mergeCell ref="K386:K387"/>
    <mergeCell ref="L386:L387"/>
    <mergeCell ref="M386:M387"/>
    <mergeCell ref="N386:N387"/>
    <mergeCell ref="O386:O387"/>
    <mergeCell ref="A386:A387"/>
    <mergeCell ref="B386:B387"/>
    <mergeCell ref="C386:C387"/>
    <mergeCell ref="D386:D387"/>
    <mergeCell ref="E386:H386"/>
    <mergeCell ref="I386:I387"/>
    <mergeCell ref="A383:A385"/>
    <mergeCell ref="B383:N385"/>
    <mergeCell ref="O383:R383"/>
    <mergeCell ref="S383:X383"/>
    <mergeCell ref="O384:R384"/>
    <mergeCell ref="S384:X384"/>
    <mergeCell ref="O385:R385"/>
    <mergeCell ref="S385:X385"/>
    <mergeCell ref="M379:M381"/>
    <mergeCell ref="N379:N381"/>
    <mergeCell ref="O379:O381"/>
    <mergeCell ref="P379:P381"/>
    <mergeCell ref="W379:W381"/>
    <mergeCell ref="X379:X381"/>
    <mergeCell ref="G379:G381"/>
    <mergeCell ref="H379:H381"/>
    <mergeCell ref="I379:I381"/>
    <mergeCell ref="J379:J381"/>
    <mergeCell ref="K379:K381"/>
    <mergeCell ref="L379:L381"/>
    <mergeCell ref="A379:A381"/>
    <mergeCell ref="B379:B381"/>
    <mergeCell ref="C379:C381"/>
    <mergeCell ref="D379:D381"/>
    <mergeCell ref="E379:E381"/>
    <mergeCell ref="F379:F381"/>
    <mergeCell ref="M376:M378"/>
    <mergeCell ref="N376:N378"/>
    <mergeCell ref="O376:O378"/>
    <mergeCell ref="P376:P378"/>
    <mergeCell ref="W376:W378"/>
    <mergeCell ref="X376:X378"/>
    <mergeCell ref="G376:G378"/>
    <mergeCell ref="H376:H378"/>
    <mergeCell ref="I376:I378"/>
    <mergeCell ref="J376:J378"/>
    <mergeCell ref="K376:K378"/>
    <mergeCell ref="L376:L378"/>
    <mergeCell ref="P374:P375"/>
    <mergeCell ref="Q374:V374"/>
    <mergeCell ref="W374:W375"/>
    <mergeCell ref="X374:X375"/>
    <mergeCell ref="A376:A378"/>
    <mergeCell ref="B376:B378"/>
    <mergeCell ref="C376:C378"/>
    <mergeCell ref="D376:D378"/>
    <mergeCell ref="E376:E378"/>
    <mergeCell ref="F376:F378"/>
    <mergeCell ref="J374:J375"/>
    <mergeCell ref="K374:K375"/>
    <mergeCell ref="L374:L375"/>
    <mergeCell ref="M374:M375"/>
    <mergeCell ref="N374:N375"/>
    <mergeCell ref="O374:O375"/>
    <mergeCell ref="A374:A375"/>
    <mergeCell ref="B374:B375"/>
    <mergeCell ref="C374:C375"/>
    <mergeCell ref="D374:D375"/>
    <mergeCell ref="E374:H374"/>
    <mergeCell ref="I374:I375"/>
    <mergeCell ref="A370:X370"/>
    <mergeCell ref="A371:A373"/>
    <mergeCell ref="B371:N373"/>
    <mergeCell ref="O371:R371"/>
    <mergeCell ref="S371:X371"/>
    <mergeCell ref="O372:R372"/>
    <mergeCell ref="S372:X372"/>
    <mergeCell ref="O373:R373"/>
    <mergeCell ref="S373:X373"/>
    <mergeCell ref="M366:M368"/>
    <mergeCell ref="N366:N368"/>
    <mergeCell ref="O366:O368"/>
    <mergeCell ref="P366:P368"/>
    <mergeCell ref="W366:W368"/>
    <mergeCell ref="X366:X368"/>
    <mergeCell ref="G366:G368"/>
    <mergeCell ref="H366:H368"/>
    <mergeCell ref="I366:I368"/>
    <mergeCell ref="J366:J368"/>
    <mergeCell ref="K366:K368"/>
    <mergeCell ref="L366:L368"/>
    <mergeCell ref="A366:A368"/>
    <mergeCell ref="B366:B368"/>
    <mergeCell ref="C366:C368"/>
    <mergeCell ref="D366:D368"/>
    <mergeCell ref="E366:E368"/>
    <mergeCell ref="F366:F368"/>
    <mergeCell ref="M363:M365"/>
    <mergeCell ref="N363:N365"/>
    <mergeCell ref="O363:O365"/>
    <mergeCell ref="P363:P365"/>
    <mergeCell ref="W363:W365"/>
    <mergeCell ref="X363:X365"/>
    <mergeCell ref="G363:G365"/>
    <mergeCell ref="H363:H365"/>
    <mergeCell ref="I363:I365"/>
    <mergeCell ref="J363:J365"/>
    <mergeCell ref="K363:K365"/>
    <mergeCell ref="L363:L365"/>
    <mergeCell ref="P361:P362"/>
    <mergeCell ref="Q361:V361"/>
    <mergeCell ref="W361:W362"/>
    <mergeCell ref="X361:X362"/>
    <mergeCell ref="A363:A365"/>
    <mergeCell ref="B363:B365"/>
    <mergeCell ref="C363:C365"/>
    <mergeCell ref="D363:D365"/>
    <mergeCell ref="E363:E365"/>
    <mergeCell ref="F363:F365"/>
    <mergeCell ref="J361:J362"/>
    <mergeCell ref="K361:K362"/>
    <mergeCell ref="L361:L362"/>
    <mergeCell ref="M361:M362"/>
    <mergeCell ref="N361:N362"/>
    <mergeCell ref="O361:O362"/>
    <mergeCell ref="A361:A362"/>
    <mergeCell ref="B361:B362"/>
    <mergeCell ref="C361:C362"/>
    <mergeCell ref="D361:D362"/>
    <mergeCell ref="E361:H361"/>
    <mergeCell ref="I361:I362"/>
    <mergeCell ref="A357:X357"/>
    <mergeCell ref="A358:A360"/>
    <mergeCell ref="B358:N360"/>
    <mergeCell ref="O358:R358"/>
    <mergeCell ref="S358:X358"/>
    <mergeCell ref="O359:R359"/>
    <mergeCell ref="S359:X359"/>
    <mergeCell ref="O360:R360"/>
    <mergeCell ref="S360:X360"/>
    <mergeCell ref="M353:M355"/>
    <mergeCell ref="N353:N355"/>
    <mergeCell ref="O353:O355"/>
    <mergeCell ref="P353:P355"/>
    <mergeCell ref="W353:W355"/>
    <mergeCell ref="X353:X355"/>
    <mergeCell ref="G353:G355"/>
    <mergeCell ref="H353:H355"/>
    <mergeCell ref="I353:I355"/>
    <mergeCell ref="J353:J355"/>
    <mergeCell ref="K353:K355"/>
    <mergeCell ref="L353:L355"/>
    <mergeCell ref="A353:A355"/>
    <mergeCell ref="B353:B355"/>
    <mergeCell ref="C353:C355"/>
    <mergeCell ref="D353:D355"/>
    <mergeCell ref="E353:E355"/>
    <mergeCell ref="F353:F355"/>
    <mergeCell ref="M350:M352"/>
    <mergeCell ref="N350:N352"/>
    <mergeCell ref="O350:O352"/>
    <mergeCell ref="P350:P352"/>
    <mergeCell ref="W350:W352"/>
    <mergeCell ref="X350:X352"/>
    <mergeCell ref="G350:G352"/>
    <mergeCell ref="H350:H352"/>
    <mergeCell ref="I350:I352"/>
    <mergeCell ref="J350:J352"/>
    <mergeCell ref="K350:K352"/>
    <mergeCell ref="L350:L352"/>
    <mergeCell ref="P348:P349"/>
    <mergeCell ref="Q348:V348"/>
    <mergeCell ref="W348:W349"/>
    <mergeCell ref="X348:X349"/>
    <mergeCell ref="A350:A352"/>
    <mergeCell ref="B350:B352"/>
    <mergeCell ref="C350:C352"/>
    <mergeCell ref="D350:D352"/>
    <mergeCell ref="E350:E352"/>
    <mergeCell ref="F350:F352"/>
    <mergeCell ref="J348:J349"/>
    <mergeCell ref="K348:K349"/>
    <mergeCell ref="L348:L349"/>
    <mergeCell ref="M348:M349"/>
    <mergeCell ref="N348:N349"/>
    <mergeCell ref="O348:O349"/>
    <mergeCell ref="A348:A349"/>
    <mergeCell ref="B348:B349"/>
    <mergeCell ref="C348:C349"/>
    <mergeCell ref="D348:D349"/>
    <mergeCell ref="E348:H348"/>
    <mergeCell ref="I348:I349"/>
    <mergeCell ref="A345:A347"/>
    <mergeCell ref="B345:N347"/>
    <mergeCell ref="O345:R345"/>
    <mergeCell ref="S345:X345"/>
    <mergeCell ref="O346:R346"/>
    <mergeCell ref="S346:X346"/>
    <mergeCell ref="O347:R347"/>
    <mergeCell ref="S347:X347"/>
    <mergeCell ref="M341:M343"/>
    <mergeCell ref="N341:N343"/>
    <mergeCell ref="O341:O343"/>
    <mergeCell ref="P341:P343"/>
    <mergeCell ref="W341:W343"/>
    <mergeCell ref="X341:X343"/>
    <mergeCell ref="G341:G343"/>
    <mergeCell ref="H341:H343"/>
    <mergeCell ref="I341:I343"/>
    <mergeCell ref="J341:J343"/>
    <mergeCell ref="K341:K343"/>
    <mergeCell ref="L341:L343"/>
    <mergeCell ref="A341:A343"/>
    <mergeCell ref="B341:B343"/>
    <mergeCell ref="C341:C343"/>
    <mergeCell ref="D341:D343"/>
    <mergeCell ref="E341:E343"/>
    <mergeCell ref="F341:F343"/>
    <mergeCell ref="M338:M340"/>
    <mergeCell ref="N338:N340"/>
    <mergeCell ref="O338:O340"/>
    <mergeCell ref="P338:P340"/>
    <mergeCell ref="W338:W340"/>
    <mergeCell ref="X338:X340"/>
    <mergeCell ref="G338:G340"/>
    <mergeCell ref="H338:H340"/>
    <mergeCell ref="I338:I340"/>
    <mergeCell ref="J338:J340"/>
    <mergeCell ref="K338:K340"/>
    <mergeCell ref="L338:L340"/>
    <mergeCell ref="P336:P337"/>
    <mergeCell ref="Q336:V336"/>
    <mergeCell ref="W336:W337"/>
    <mergeCell ref="X336:X337"/>
    <mergeCell ref="A338:A340"/>
    <mergeCell ref="B338:B340"/>
    <mergeCell ref="C338:C340"/>
    <mergeCell ref="D338:D340"/>
    <mergeCell ref="E338:E340"/>
    <mergeCell ref="F338:F340"/>
    <mergeCell ref="J336:J337"/>
    <mergeCell ref="K336:K337"/>
    <mergeCell ref="L336:L337"/>
    <mergeCell ref="M336:M337"/>
    <mergeCell ref="N336:N337"/>
    <mergeCell ref="O336:O337"/>
    <mergeCell ref="A336:A337"/>
    <mergeCell ref="B336:B337"/>
    <mergeCell ref="C336:C337"/>
    <mergeCell ref="D336:D337"/>
    <mergeCell ref="E336:H336"/>
    <mergeCell ref="I336:I337"/>
    <mergeCell ref="A333:A335"/>
    <mergeCell ref="B333:N335"/>
    <mergeCell ref="O333:R333"/>
    <mergeCell ref="S333:X333"/>
    <mergeCell ref="O334:R334"/>
    <mergeCell ref="S334:X334"/>
    <mergeCell ref="O335:R335"/>
    <mergeCell ref="S335:X335"/>
    <mergeCell ref="M329:M331"/>
    <mergeCell ref="N329:N331"/>
    <mergeCell ref="O329:O331"/>
    <mergeCell ref="P329:P331"/>
    <mergeCell ref="W329:W331"/>
    <mergeCell ref="X329:X331"/>
    <mergeCell ref="G329:G331"/>
    <mergeCell ref="H329:H331"/>
    <mergeCell ref="I329:I331"/>
    <mergeCell ref="J329:J331"/>
    <mergeCell ref="K329:K331"/>
    <mergeCell ref="L329:L331"/>
    <mergeCell ref="A329:A331"/>
    <mergeCell ref="B329:B331"/>
    <mergeCell ref="C329:C331"/>
    <mergeCell ref="D329:D331"/>
    <mergeCell ref="E329:E331"/>
    <mergeCell ref="F329:F331"/>
    <mergeCell ref="M326:M328"/>
    <mergeCell ref="N326:N328"/>
    <mergeCell ref="O326:O328"/>
    <mergeCell ref="P326:P328"/>
    <mergeCell ref="W326:W328"/>
    <mergeCell ref="X326:X328"/>
    <mergeCell ref="G326:G328"/>
    <mergeCell ref="H326:H328"/>
    <mergeCell ref="I326:I328"/>
    <mergeCell ref="J326:J328"/>
    <mergeCell ref="K326:K328"/>
    <mergeCell ref="L326:L328"/>
    <mergeCell ref="P324:P325"/>
    <mergeCell ref="Q324:V324"/>
    <mergeCell ref="W324:W325"/>
    <mergeCell ref="X324:X325"/>
    <mergeCell ref="A326:A328"/>
    <mergeCell ref="B326:B328"/>
    <mergeCell ref="C326:C328"/>
    <mergeCell ref="D326:D328"/>
    <mergeCell ref="E326:E328"/>
    <mergeCell ref="F326:F328"/>
    <mergeCell ref="J324:J325"/>
    <mergeCell ref="K324:K325"/>
    <mergeCell ref="L324:L325"/>
    <mergeCell ref="M324:M325"/>
    <mergeCell ref="N324:N325"/>
    <mergeCell ref="O324:O325"/>
    <mergeCell ref="A324:A325"/>
    <mergeCell ref="B324:B325"/>
    <mergeCell ref="C324:C325"/>
    <mergeCell ref="D324:D325"/>
    <mergeCell ref="E324:H324"/>
    <mergeCell ref="I324:I325"/>
    <mergeCell ref="A321:A323"/>
    <mergeCell ref="B321:N323"/>
    <mergeCell ref="O321:R321"/>
    <mergeCell ref="S321:X321"/>
    <mergeCell ref="O322:R322"/>
    <mergeCell ref="S322:X322"/>
    <mergeCell ref="O323:R323"/>
    <mergeCell ref="S323:X323"/>
    <mergeCell ref="M317:M319"/>
    <mergeCell ref="N317:N319"/>
    <mergeCell ref="O317:O319"/>
    <mergeCell ref="P317:P319"/>
    <mergeCell ref="W317:W319"/>
    <mergeCell ref="X317:X319"/>
    <mergeCell ref="G317:G319"/>
    <mergeCell ref="H317:H319"/>
    <mergeCell ref="I317:I319"/>
    <mergeCell ref="J317:J319"/>
    <mergeCell ref="K317:K319"/>
    <mergeCell ref="L317:L319"/>
    <mergeCell ref="A317:A319"/>
    <mergeCell ref="B317:B319"/>
    <mergeCell ref="C317:C319"/>
    <mergeCell ref="D317:D319"/>
    <mergeCell ref="E317:E319"/>
    <mergeCell ref="F317:F319"/>
    <mergeCell ref="M314:M316"/>
    <mergeCell ref="N314:N316"/>
    <mergeCell ref="O314:O316"/>
    <mergeCell ref="P314:P316"/>
    <mergeCell ref="W314:W316"/>
    <mergeCell ref="X314:X316"/>
    <mergeCell ref="G314:G316"/>
    <mergeCell ref="H314:H316"/>
    <mergeCell ref="I314:I316"/>
    <mergeCell ref="J314:J316"/>
    <mergeCell ref="K314:K316"/>
    <mergeCell ref="L314:L316"/>
    <mergeCell ref="P312:P313"/>
    <mergeCell ref="Q312:V312"/>
    <mergeCell ref="W312:W313"/>
    <mergeCell ref="X312:X313"/>
    <mergeCell ref="A314:A316"/>
    <mergeCell ref="B314:B316"/>
    <mergeCell ref="C314:C316"/>
    <mergeCell ref="D314:D316"/>
    <mergeCell ref="E314:E316"/>
    <mergeCell ref="F314:F316"/>
    <mergeCell ref="J312:J313"/>
    <mergeCell ref="K312:K313"/>
    <mergeCell ref="L312:L313"/>
    <mergeCell ref="M312:M313"/>
    <mergeCell ref="N312:N313"/>
    <mergeCell ref="O312:O313"/>
    <mergeCell ref="A312:A313"/>
    <mergeCell ref="B312:B313"/>
    <mergeCell ref="C312:C313"/>
    <mergeCell ref="D312:D313"/>
    <mergeCell ref="E312:H312"/>
    <mergeCell ref="I312:I313"/>
    <mergeCell ref="A309:A311"/>
    <mergeCell ref="B309:N311"/>
    <mergeCell ref="O309:R309"/>
    <mergeCell ref="S309:X309"/>
    <mergeCell ref="O310:R310"/>
    <mergeCell ref="S310:X310"/>
    <mergeCell ref="O311:R311"/>
    <mergeCell ref="S311:X311"/>
    <mergeCell ref="M305:M307"/>
    <mergeCell ref="N305:N307"/>
    <mergeCell ref="O305:O307"/>
    <mergeCell ref="P305:P307"/>
    <mergeCell ref="W305:W307"/>
    <mergeCell ref="X305:X307"/>
    <mergeCell ref="G305:G307"/>
    <mergeCell ref="H305:H307"/>
    <mergeCell ref="I305:I307"/>
    <mergeCell ref="J305:J307"/>
    <mergeCell ref="K305:K307"/>
    <mergeCell ref="L305:L307"/>
    <mergeCell ref="A305:A307"/>
    <mergeCell ref="B305:B307"/>
    <mergeCell ref="C305:C307"/>
    <mergeCell ref="D305:D307"/>
    <mergeCell ref="E305:E307"/>
    <mergeCell ref="F305:F307"/>
    <mergeCell ref="M302:M304"/>
    <mergeCell ref="N302:N304"/>
    <mergeCell ref="O302:O304"/>
    <mergeCell ref="P302:P304"/>
    <mergeCell ref="W302:W304"/>
    <mergeCell ref="X302:X304"/>
    <mergeCell ref="G302:G304"/>
    <mergeCell ref="H302:H304"/>
    <mergeCell ref="I302:I304"/>
    <mergeCell ref="J302:J304"/>
    <mergeCell ref="K302:K304"/>
    <mergeCell ref="L302:L304"/>
    <mergeCell ref="P300:P301"/>
    <mergeCell ref="Q300:V300"/>
    <mergeCell ref="W300:W301"/>
    <mergeCell ref="X300:X301"/>
    <mergeCell ref="A302:A304"/>
    <mergeCell ref="B302:B304"/>
    <mergeCell ref="C302:C304"/>
    <mergeCell ref="D302:D304"/>
    <mergeCell ref="E302:E304"/>
    <mergeCell ref="F302:F304"/>
    <mergeCell ref="J300:J301"/>
    <mergeCell ref="K300:K301"/>
    <mergeCell ref="L300:L301"/>
    <mergeCell ref="M300:M301"/>
    <mergeCell ref="N300:N301"/>
    <mergeCell ref="O300:O301"/>
    <mergeCell ref="A300:A301"/>
    <mergeCell ref="B300:B301"/>
    <mergeCell ref="C300:C301"/>
    <mergeCell ref="D300:D301"/>
    <mergeCell ref="E300:H300"/>
    <mergeCell ref="I300:I301"/>
    <mergeCell ref="A297:A299"/>
    <mergeCell ref="B297:N299"/>
    <mergeCell ref="O297:R297"/>
    <mergeCell ref="S297:X297"/>
    <mergeCell ref="O298:R298"/>
    <mergeCell ref="S298:X298"/>
    <mergeCell ref="O299:R299"/>
    <mergeCell ref="S299:X299"/>
    <mergeCell ref="M293:M295"/>
    <mergeCell ref="N293:N295"/>
    <mergeCell ref="O293:O295"/>
    <mergeCell ref="P293:P295"/>
    <mergeCell ref="W293:W295"/>
    <mergeCell ref="X293:X295"/>
    <mergeCell ref="G293:G295"/>
    <mergeCell ref="H293:H295"/>
    <mergeCell ref="I293:I295"/>
    <mergeCell ref="J293:J295"/>
    <mergeCell ref="K293:K295"/>
    <mergeCell ref="L293:L295"/>
    <mergeCell ref="A293:A295"/>
    <mergeCell ref="B293:B295"/>
    <mergeCell ref="C293:C295"/>
    <mergeCell ref="D293:D295"/>
    <mergeCell ref="E293:E295"/>
    <mergeCell ref="F293:F295"/>
    <mergeCell ref="M290:M292"/>
    <mergeCell ref="N290:N292"/>
    <mergeCell ref="O290:O292"/>
    <mergeCell ref="P290:P292"/>
    <mergeCell ref="W290:W292"/>
    <mergeCell ref="X290:X292"/>
    <mergeCell ref="G290:G292"/>
    <mergeCell ref="H290:H292"/>
    <mergeCell ref="I290:I292"/>
    <mergeCell ref="J290:J292"/>
    <mergeCell ref="K290:K292"/>
    <mergeCell ref="L290:L292"/>
    <mergeCell ref="P288:P289"/>
    <mergeCell ref="Q288:V288"/>
    <mergeCell ref="W288:W289"/>
    <mergeCell ref="X288:X289"/>
    <mergeCell ref="A290:A292"/>
    <mergeCell ref="B290:B292"/>
    <mergeCell ref="C290:C292"/>
    <mergeCell ref="D290:D292"/>
    <mergeCell ref="E290:E292"/>
    <mergeCell ref="F290:F292"/>
    <mergeCell ref="J288:J289"/>
    <mergeCell ref="K288:K289"/>
    <mergeCell ref="L288:L289"/>
    <mergeCell ref="M288:M289"/>
    <mergeCell ref="N288:N289"/>
    <mergeCell ref="O288:O289"/>
    <mergeCell ref="A288:A289"/>
    <mergeCell ref="B288:B289"/>
    <mergeCell ref="C288:C289"/>
    <mergeCell ref="D288:D289"/>
    <mergeCell ref="E288:H288"/>
    <mergeCell ref="I288:I289"/>
    <mergeCell ref="A285:A287"/>
    <mergeCell ref="B285:N287"/>
    <mergeCell ref="O285:R285"/>
    <mergeCell ref="S285:X285"/>
    <mergeCell ref="O286:R286"/>
    <mergeCell ref="S286:X286"/>
    <mergeCell ref="O287:R287"/>
    <mergeCell ref="S287:X287"/>
    <mergeCell ref="M281:M283"/>
    <mergeCell ref="N281:N283"/>
    <mergeCell ref="O281:O283"/>
    <mergeCell ref="P281:P283"/>
    <mergeCell ref="W281:W283"/>
    <mergeCell ref="X281:X283"/>
    <mergeCell ref="G281:G283"/>
    <mergeCell ref="H281:H283"/>
    <mergeCell ref="I281:I283"/>
    <mergeCell ref="J281:J283"/>
    <mergeCell ref="K281:K283"/>
    <mergeCell ref="L281:L283"/>
    <mergeCell ref="A281:A283"/>
    <mergeCell ref="B281:B283"/>
    <mergeCell ref="C281:C283"/>
    <mergeCell ref="D281:D283"/>
    <mergeCell ref="E281:E283"/>
    <mergeCell ref="F281:F283"/>
    <mergeCell ref="M278:M280"/>
    <mergeCell ref="N278:N280"/>
    <mergeCell ref="O278:O280"/>
    <mergeCell ref="P278:P280"/>
    <mergeCell ref="W278:W280"/>
    <mergeCell ref="X278:X280"/>
    <mergeCell ref="G278:G280"/>
    <mergeCell ref="H278:H280"/>
    <mergeCell ref="I278:I280"/>
    <mergeCell ref="J278:J280"/>
    <mergeCell ref="K278:K280"/>
    <mergeCell ref="L278:L280"/>
    <mergeCell ref="P276:P277"/>
    <mergeCell ref="Q276:V276"/>
    <mergeCell ref="W276:W277"/>
    <mergeCell ref="X276:X277"/>
    <mergeCell ref="A278:A280"/>
    <mergeCell ref="B278:B280"/>
    <mergeCell ref="C278:C280"/>
    <mergeCell ref="D278:D280"/>
    <mergeCell ref="E278:E280"/>
    <mergeCell ref="F278:F280"/>
    <mergeCell ref="J276:J277"/>
    <mergeCell ref="K276:K277"/>
    <mergeCell ref="L276:L277"/>
    <mergeCell ref="M276:M277"/>
    <mergeCell ref="N276:N277"/>
    <mergeCell ref="O276:O277"/>
    <mergeCell ref="A276:A277"/>
    <mergeCell ref="B276:B277"/>
    <mergeCell ref="C276:C277"/>
    <mergeCell ref="D276:D277"/>
    <mergeCell ref="E276:H276"/>
    <mergeCell ref="I276:I277"/>
    <mergeCell ref="A273:A275"/>
    <mergeCell ref="B273:N275"/>
    <mergeCell ref="O273:R273"/>
    <mergeCell ref="S273:X273"/>
    <mergeCell ref="O274:R274"/>
    <mergeCell ref="S274:X274"/>
    <mergeCell ref="O275:R275"/>
    <mergeCell ref="S275:X275"/>
    <mergeCell ref="M269:M271"/>
    <mergeCell ref="N269:N271"/>
    <mergeCell ref="O269:O271"/>
    <mergeCell ref="P269:P271"/>
    <mergeCell ref="W269:W271"/>
    <mergeCell ref="X269:X271"/>
    <mergeCell ref="G269:G271"/>
    <mergeCell ref="H269:H271"/>
    <mergeCell ref="I269:I271"/>
    <mergeCell ref="J269:J271"/>
    <mergeCell ref="K269:K271"/>
    <mergeCell ref="L269:L271"/>
    <mergeCell ref="A269:A271"/>
    <mergeCell ref="B269:B271"/>
    <mergeCell ref="C269:C271"/>
    <mergeCell ref="D269:D271"/>
    <mergeCell ref="E269:E271"/>
    <mergeCell ref="F269:F271"/>
    <mergeCell ref="M266:M268"/>
    <mergeCell ref="N266:N268"/>
    <mergeCell ref="O266:O268"/>
    <mergeCell ref="P266:P268"/>
    <mergeCell ref="W266:W268"/>
    <mergeCell ref="X266:X268"/>
    <mergeCell ref="G266:G268"/>
    <mergeCell ref="H266:H268"/>
    <mergeCell ref="I266:I268"/>
    <mergeCell ref="J266:J268"/>
    <mergeCell ref="K266:K268"/>
    <mergeCell ref="L266:L268"/>
    <mergeCell ref="P264:P265"/>
    <mergeCell ref="Q264:V264"/>
    <mergeCell ref="W264:W265"/>
    <mergeCell ref="X264:X265"/>
    <mergeCell ref="A266:A268"/>
    <mergeCell ref="B266:B268"/>
    <mergeCell ref="C266:C268"/>
    <mergeCell ref="D266:D268"/>
    <mergeCell ref="E266:E268"/>
    <mergeCell ref="F266:F268"/>
    <mergeCell ref="J264:J265"/>
    <mergeCell ref="K264:K265"/>
    <mergeCell ref="L264:L265"/>
    <mergeCell ref="M264:M265"/>
    <mergeCell ref="N264:N265"/>
    <mergeCell ref="O264:O265"/>
    <mergeCell ref="A264:A265"/>
    <mergeCell ref="B264:B265"/>
    <mergeCell ref="C264:C265"/>
    <mergeCell ref="D264:D265"/>
    <mergeCell ref="E264:H264"/>
    <mergeCell ref="I264:I265"/>
    <mergeCell ref="A261:A263"/>
    <mergeCell ref="B261:N263"/>
    <mergeCell ref="O261:R261"/>
    <mergeCell ref="S261:X261"/>
    <mergeCell ref="O262:R262"/>
    <mergeCell ref="S262:X262"/>
    <mergeCell ref="O263:R263"/>
    <mergeCell ref="S263:X263"/>
    <mergeCell ref="M257:M259"/>
    <mergeCell ref="N257:N259"/>
    <mergeCell ref="O257:O259"/>
    <mergeCell ref="P257:P259"/>
    <mergeCell ref="W257:W259"/>
    <mergeCell ref="X257:X259"/>
    <mergeCell ref="G257:G259"/>
    <mergeCell ref="H257:H259"/>
    <mergeCell ref="I257:I259"/>
    <mergeCell ref="J257:J259"/>
    <mergeCell ref="K257:K259"/>
    <mergeCell ref="L257:L259"/>
    <mergeCell ref="A257:A259"/>
    <mergeCell ref="B257:B259"/>
    <mergeCell ref="C257:C259"/>
    <mergeCell ref="D257:D259"/>
    <mergeCell ref="E257:E259"/>
    <mergeCell ref="F257:F259"/>
    <mergeCell ref="M254:M256"/>
    <mergeCell ref="N254:N256"/>
    <mergeCell ref="O254:O256"/>
    <mergeCell ref="P254:P256"/>
    <mergeCell ref="W254:W256"/>
    <mergeCell ref="X254:X256"/>
    <mergeCell ref="G254:G256"/>
    <mergeCell ref="H254:H256"/>
    <mergeCell ref="I254:I256"/>
    <mergeCell ref="J254:J256"/>
    <mergeCell ref="K254:K256"/>
    <mergeCell ref="L254:L256"/>
    <mergeCell ref="P252:P253"/>
    <mergeCell ref="Q252:V252"/>
    <mergeCell ref="W252:W253"/>
    <mergeCell ref="X252:X253"/>
    <mergeCell ref="A254:A256"/>
    <mergeCell ref="B254:B256"/>
    <mergeCell ref="C254:C256"/>
    <mergeCell ref="D254:D256"/>
    <mergeCell ref="E254:E256"/>
    <mergeCell ref="F254:F256"/>
    <mergeCell ref="J252:J253"/>
    <mergeCell ref="K252:K253"/>
    <mergeCell ref="L252:L253"/>
    <mergeCell ref="M252:M253"/>
    <mergeCell ref="N252:N253"/>
    <mergeCell ref="O252:O253"/>
    <mergeCell ref="A252:A253"/>
    <mergeCell ref="B252:B253"/>
    <mergeCell ref="C252:C253"/>
    <mergeCell ref="D252:D253"/>
    <mergeCell ref="E252:H252"/>
    <mergeCell ref="I252:I253"/>
    <mergeCell ref="A249:A251"/>
    <mergeCell ref="B249:N251"/>
    <mergeCell ref="O249:R249"/>
    <mergeCell ref="S249:X249"/>
    <mergeCell ref="O250:R250"/>
    <mergeCell ref="S250:X250"/>
    <mergeCell ref="O251:R251"/>
    <mergeCell ref="S251:X251"/>
    <mergeCell ref="M245:M247"/>
    <mergeCell ref="N245:N247"/>
    <mergeCell ref="O245:O247"/>
    <mergeCell ref="P245:P247"/>
    <mergeCell ref="W245:W247"/>
    <mergeCell ref="X245:X247"/>
    <mergeCell ref="G245:G247"/>
    <mergeCell ref="H245:H247"/>
    <mergeCell ref="I245:I247"/>
    <mergeCell ref="J245:J247"/>
    <mergeCell ref="K245:K247"/>
    <mergeCell ref="L245:L247"/>
    <mergeCell ref="A245:A247"/>
    <mergeCell ref="B245:B247"/>
    <mergeCell ref="C245:C247"/>
    <mergeCell ref="D245:D247"/>
    <mergeCell ref="E245:E247"/>
    <mergeCell ref="F245:F247"/>
    <mergeCell ref="M242:M244"/>
    <mergeCell ref="N242:N244"/>
    <mergeCell ref="O242:O244"/>
    <mergeCell ref="P242:P244"/>
    <mergeCell ref="W242:W244"/>
    <mergeCell ref="X242:X244"/>
    <mergeCell ref="G242:G244"/>
    <mergeCell ref="H242:H244"/>
    <mergeCell ref="I242:I244"/>
    <mergeCell ref="J242:J244"/>
    <mergeCell ref="K242:K244"/>
    <mergeCell ref="L242:L244"/>
    <mergeCell ref="P240:P241"/>
    <mergeCell ref="Q240:V240"/>
    <mergeCell ref="W240:W241"/>
    <mergeCell ref="X240:X241"/>
    <mergeCell ref="A242:A244"/>
    <mergeCell ref="B242:B244"/>
    <mergeCell ref="C242:C244"/>
    <mergeCell ref="D242:D244"/>
    <mergeCell ref="E242:E244"/>
    <mergeCell ref="F242:F244"/>
    <mergeCell ref="J240:J241"/>
    <mergeCell ref="K240:K241"/>
    <mergeCell ref="L240:L241"/>
    <mergeCell ref="M240:M241"/>
    <mergeCell ref="N240:N241"/>
    <mergeCell ref="O240:O241"/>
    <mergeCell ref="A240:A241"/>
    <mergeCell ref="B240:B241"/>
    <mergeCell ref="C240:C241"/>
    <mergeCell ref="D240:D241"/>
    <mergeCell ref="E240:H240"/>
    <mergeCell ref="I240:I241"/>
    <mergeCell ref="A237:A239"/>
    <mergeCell ref="B237:N239"/>
    <mergeCell ref="O237:R237"/>
    <mergeCell ref="S237:X237"/>
    <mergeCell ref="O238:R238"/>
    <mergeCell ref="S238:X238"/>
    <mergeCell ref="O239:R239"/>
    <mergeCell ref="S239:X239"/>
    <mergeCell ref="M233:M235"/>
    <mergeCell ref="N233:N235"/>
    <mergeCell ref="O233:O235"/>
    <mergeCell ref="P233:P235"/>
    <mergeCell ref="W233:W235"/>
    <mergeCell ref="X233:X235"/>
    <mergeCell ref="G233:G235"/>
    <mergeCell ref="H233:H235"/>
    <mergeCell ref="I233:I235"/>
    <mergeCell ref="J233:J235"/>
    <mergeCell ref="K233:K235"/>
    <mergeCell ref="L233:L235"/>
    <mergeCell ref="A233:A235"/>
    <mergeCell ref="B233:B235"/>
    <mergeCell ref="C233:C235"/>
    <mergeCell ref="D233:D235"/>
    <mergeCell ref="E233:E235"/>
    <mergeCell ref="F233:F235"/>
    <mergeCell ref="M230:M232"/>
    <mergeCell ref="N230:N232"/>
    <mergeCell ref="O230:O232"/>
    <mergeCell ref="P230:P232"/>
    <mergeCell ref="W230:W232"/>
    <mergeCell ref="X230:X232"/>
    <mergeCell ref="G230:G232"/>
    <mergeCell ref="H230:H232"/>
    <mergeCell ref="I230:I232"/>
    <mergeCell ref="J230:J232"/>
    <mergeCell ref="K230:K232"/>
    <mergeCell ref="L230:L232"/>
    <mergeCell ref="P228:P229"/>
    <mergeCell ref="Q228:V228"/>
    <mergeCell ref="W228:W229"/>
    <mergeCell ref="X228:X229"/>
    <mergeCell ref="A230:A232"/>
    <mergeCell ref="B230:B232"/>
    <mergeCell ref="C230:C232"/>
    <mergeCell ref="D230:D232"/>
    <mergeCell ref="E230:E232"/>
    <mergeCell ref="F230:F232"/>
    <mergeCell ref="J228:J229"/>
    <mergeCell ref="K228:K229"/>
    <mergeCell ref="L228:L229"/>
    <mergeCell ref="M228:M229"/>
    <mergeCell ref="N228:N229"/>
    <mergeCell ref="O228:O229"/>
    <mergeCell ref="A228:A229"/>
    <mergeCell ref="B228:B229"/>
    <mergeCell ref="C228:C229"/>
    <mergeCell ref="D228:D229"/>
    <mergeCell ref="E228:H228"/>
    <mergeCell ref="I228:I229"/>
    <mergeCell ref="A225:A227"/>
    <mergeCell ref="B225:N227"/>
    <mergeCell ref="O225:R225"/>
    <mergeCell ref="S225:X225"/>
    <mergeCell ref="O226:R226"/>
    <mergeCell ref="S226:X226"/>
    <mergeCell ref="O227:R227"/>
    <mergeCell ref="S227:X227"/>
    <mergeCell ref="M221:M223"/>
    <mergeCell ref="N221:N223"/>
    <mergeCell ref="O221:O223"/>
    <mergeCell ref="P221:P223"/>
    <mergeCell ref="W221:W223"/>
    <mergeCell ref="X221:X223"/>
    <mergeCell ref="G221:G223"/>
    <mergeCell ref="H221:H223"/>
    <mergeCell ref="I221:I223"/>
    <mergeCell ref="J221:J223"/>
    <mergeCell ref="K221:K223"/>
    <mergeCell ref="L221:L223"/>
    <mergeCell ref="A221:A223"/>
    <mergeCell ref="B221:B223"/>
    <mergeCell ref="C221:C223"/>
    <mergeCell ref="D221:D223"/>
    <mergeCell ref="E221:E223"/>
    <mergeCell ref="F221:F223"/>
    <mergeCell ref="M218:M220"/>
    <mergeCell ref="N218:N220"/>
    <mergeCell ref="O218:O220"/>
    <mergeCell ref="P218:P220"/>
    <mergeCell ref="W218:W220"/>
    <mergeCell ref="X218:X220"/>
    <mergeCell ref="G218:G220"/>
    <mergeCell ref="H218:H220"/>
    <mergeCell ref="I218:I220"/>
    <mergeCell ref="J218:J220"/>
    <mergeCell ref="K218:K220"/>
    <mergeCell ref="L218:L220"/>
    <mergeCell ref="P216:P217"/>
    <mergeCell ref="Q216:V216"/>
    <mergeCell ref="W216:W217"/>
    <mergeCell ref="X216:X217"/>
    <mergeCell ref="A218:A220"/>
    <mergeCell ref="B218:B220"/>
    <mergeCell ref="C218:C220"/>
    <mergeCell ref="D218:D220"/>
    <mergeCell ref="E218:E220"/>
    <mergeCell ref="F218:F220"/>
    <mergeCell ref="J216:J217"/>
    <mergeCell ref="K216:K217"/>
    <mergeCell ref="L216:L217"/>
    <mergeCell ref="M216:M217"/>
    <mergeCell ref="N216:N217"/>
    <mergeCell ref="O216:O217"/>
    <mergeCell ref="A216:A217"/>
    <mergeCell ref="B216:B217"/>
    <mergeCell ref="C216:C217"/>
    <mergeCell ref="D216:D217"/>
    <mergeCell ref="E216:H216"/>
    <mergeCell ref="I216:I217"/>
    <mergeCell ref="A213:A215"/>
    <mergeCell ref="B213:N215"/>
    <mergeCell ref="O213:R213"/>
    <mergeCell ref="S213:X213"/>
    <mergeCell ref="O214:R214"/>
    <mergeCell ref="S214:X214"/>
    <mergeCell ref="O215:R215"/>
    <mergeCell ref="S215:X215"/>
    <mergeCell ref="M209:M211"/>
    <mergeCell ref="N209:N211"/>
    <mergeCell ref="O209:O211"/>
    <mergeCell ref="P209:P211"/>
    <mergeCell ref="W209:W211"/>
    <mergeCell ref="X209:X211"/>
    <mergeCell ref="G209:G211"/>
    <mergeCell ref="H209:H211"/>
    <mergeCell ref="I209:I211"/>
    <mergeCell ref="J209:J211"/>
    <mergeCell ref="K209:K211"/>
    <mergeCell ref="L209:L211"/>
    <mergeCell ref="A209:A211"/>
    <mergeCell ref="B209:B211"/>
    <mergeCell ref="C209:C211"/>
    <mergeCell ref="D209:D211"/>
    <mergeCell ref="E209:E211"/>
    <mergeCell ref="F209:F211"/>
    <mergeCell ref="M206:M208"/>
    <mergeCell ref="N206:N208"/>
    <mergeCell ref="O206:O208"/>
    <mergeCell ref="P206:P208"/>
    <mergeCell ref="W206:W208"/>
    <mergeCell ref="X206:X208"/>
    <mergeCell ref="G206:G208"/>
    <mergeCell ref="H206:H208"/>
    <mergeCell ref="I206:I208"/>
    <mergeCell ref="J206:J208"/>
    <mergeCell ref="K206:K208"/>
    <mergeCell ref="L206:L208"/>
    <mergeCell ref="P204:P205"/>
    <mergeCell ref="Q204:V204"/>
    <mergeCell ref="W204:W205"/>
    <mergeCell ref="X204:X205"/>
    <mergeCell ref="A206:A208"/>
    <mergeCell ref="B206:B208"/>
    <mergeCell ref="C206:C208"/>
    <mergeCell ref="D206:D208"/>
    <mergeCell ref="E206:E208"/>
    <mergeCell ref="F206:F208"/>
    <mergeCell ref="J204:J205"/>
    <mergeCell ref="K204:K205"/>
    <mergeCell ref="L204:L205"/>
    <mergeCell ref="M204:M205"/>
    <mergeCell ref="N204:N205"/>
    <mergeCell ref="O204:O205"/>
    <mergeCell ref="A204:A205"/>
    <mergeCell ref="B204:B205"/>
    <mergeCell ref="C204:C205"/>
    <mergeCell ref="D204:D205"/>
    <mergeCell ref="E204:H204"/>
    <mergeCell ref="I204:I205"/>
    <mergeCell ref="A201:A203"/>
    <mergeCell ref="B201:N203"/>
    <mergeCell ref="O201:R201"/>
    <mergeCell ref="S201:X201"/>
    <mergeCell ref="O202:R202"/>
    <mergeCell ref="S202:X202"/>
    <mergeCell ref="O203:R203"/>
    <mergeCell ref="S203:X203"/>
    <mergeCell ref="M197:M199"/>
    <mergeCell ref="N197:N199"/>
    <mergeCell ref="O197:O199"/>
    <mergeCell ref="P197:P199"/>
    <mergeCell ref="W197:W199"/>
    <mergeCell ref="X197:X199"/>
    <mergeCell ref="G197:G199"/>
    <mergeCell ref="H197:H199"/>
    <mergeCell ref="I197:I199"/>
    <mergeCell ref="J197:J199"/>
    <mergeCell ref="K197:K199"/>
    <mergeCell ref="L197:L199"/>
    <mergeCell ref="A197:A199"/>
    <mergeCell ref="B197:B199"/>
    <mergeCell ref="C197:C199"/>
    <mergeCell ref="D197:D199"/>
    <mergeCell ref="E197:E199"/>
    <mergeCell ref="F197:F199"/>
    <mergeCell ref="M194:M196"/>
    <mergeCell ref="N194:N196"/>
    <mergeCell ref="O194:O196"/>
    <mergeCell ref="P194:P196"/>
    <mergeCell ref="W194:W196"/>
    <mergeCell ref="X194:X196"/>
    <mergeCell ref="G194:G196"/>
    <mergeCell ref="H194:H196"/>
    <mergeCell ref="I194:I196"/>
    <mergeCell ref="J194:J196"/>
    <mergeCell ref="K194:K196"/>
    <mergeCell ref="L194:L196"/>
    <mergeCell ref="P192:P193"/>
    <mergeCell ref="Q192:V192"/>
    <mergeCell ref="W192:W193"/>
    <mergeCell ref="X192:X193"/>
    <mergeCell ref="A194:A196"/>
    <mergeCell ref="B194:B196"/>
    <mergeCell ref="C194:C196"/>
    <mergeCell ref="D194:D196"/>
    <mergeCell ref="E194:E196"/>
    <mergeCell ref="F194:F196"/>
    <mergeCell ref="J192:J193"/>
    <mergeCell ref="K192:K193"/>
    <mergeCell ref="L192:L193"/>
    <mergeCell ref="M192:M193"/>
    <mergeCell ref="N192:N193"/>
    <mergeCell ref="O192:O193"/>
    <mergeCell ref="A192:A193"/>
    <mergeCell ref="B192:B193"/>
    <mergeCell ref="C192:C193"/>
    <mergeCell ref="D192:D193"/>
    <mergeCell ref="E192:H192"/>
    <mergeCell ref="I192:I193"/>
    <mergeCell ref="A189:A191"/>
    <mergeCell ref="B189:N191"/>
    <mergeCell ref="O189:R189"/>
    <mergeCell ref="S189:X189"/>
    <mergeCell ref="O190:R190"/>
    <mergeCell ref="S190:X190"/>
    <mergeCell ref="O191:R191"/>
    <mergeCell ref="S191:X191"/>
    <mergeCell ref="M185:M187"/>
    <mergeCell ref="N185:N187"/>
    <mergeCell ref="O185:O187"/>
    <mergeCell ref="P185:P187"/>
    <mergeCell ref="W185:W187"/>
    <mergeCell ref="X185:X187"/>
    <mergeCell ref="G185:G187"/>
    <mergeCell ref="H185:H187"/>
    <mergeCell ref="I185:I187"/>
    <mergeCell ref="J185:J187"/>
    <mergeCell ref="K185:K187"/>
    <mergeCell ref="L185:L187"/>
    <mergeCell ref="A185:A187"/>
    <mergeCell ref="B185:B187"/>
    <mergeCell ref="C185:C187"/>
    <mergeCell ref="D185:D187"/>
    <mergeCell ref="E185:E187"/>
    <mergeCell ref="F185:F187"/>
    <mergeCell ref="M182:M184"/>
    <mergeCell ref="N182:N184"/>
    <mergeCell ref="O182:O184"/>
    <mergeCell ref="P182:P184"/>
    <mergeCell ref="W182:W184"/>
    <mergeCell ref="X182:X184"/>
    <mergeCell ref="G182:G184"/>
    <mergeCell ref="H182:H184"/>
    <mergeCell ref="I182:I184"/>
    <mergeCell ref="J182:J184"/>
    <mergeCell ref="K182:K184"/>
    <mergeCell ref="L182:L184"/>
    <mergeCell ref="P180:P181"/>
    <mergeCell ref="Q180:V180"/>
    <mergeCell ref="W180:W181"/>
    <mergeCell ref="X180:X181"/>
    <mergeCell ref="A182:A184"/>
    <mergeCell ref="B182:B184"/>
    <mergeCell ref="C182:C184"/>
    <mergeCell ref="D182:D184"/>
    <mergeCell ref="E182:E184"/>
    <mergeCell ref="F182:F184"/>
    <mergeCell ref="J180:J181"/>
    <mergeCell ref="K180:K181"/>
    <mergeCell ref="L180:L181"/>
    <mergeCell ref="M180:M181"/>
    <mergeCell ref="N180:N181"/>
    <mergeCell ref="O180:O181"/>
    <mergeCell ref="A180:A181"/>
    <mergeCell ref="B180:B181"/>
    <mergeCell ref="C180:C181"/>
    <mergeCell ref="D180:D181"/>
    <mergeCell ref="E180:H180"/>
    <mergeCell ref="I180:I181"/>
    <mergeCell ref="A177:A179"/>
    <mergeCell ref="B177:N179"/>
    <mergeCell ref="O177:R177"/>
    <mergeCell ref="S177:X177"/>
    <mergeCell ref="O178:R178"/>
    <mergeCell ref="S178:X178"/>
    <mergeCell ref="O179:R179"/>
    <mergeCell ref="S179:X179"/>
    <mergeCell ref="M173:M175"/>
    <mergeCell ref="N173:N175"/>
    <mergeCell ref="O173:O175"/>
    <mergeCell ref="P173:P175"/>
    <mergeCell ref="W173:W175"/>
    <mergeCell ref="X173:X175"/>
    <mergeCell ref="G173:G175"/>
    <mergeCell ref="H173:H175"/>
    <mergeCell ref="I173:I175"/>
    <mergeCell ref="J173:J175"/>
    <mergeCell ref="K173:K175"/>
    <mergeCell ref="L173:L175"/>
    <mergeCell ref="A173:A175"/>
    <mergeCell ref="B173:B175"/>
    <mergeCell ref="C173:C175"/>
    <mergeCell ref="D173:D175"/>
    <mergeCell ref="E173:E175"/>
    <mergeCell ref="F173:F175"/>
    <mergeCell ref="M170:M172"/>
    <mergeCell ref="N170:N172"/>
    <mergeCell ref="O170:O172"/>
    <mergeCell ref="P170:P172"/>
    <mergeCell ref="W170:W172"/>
    <mergeCell ref="X170:X172"/>
    <mergeCell ref="G170:G172"/>
    <mergeCell ref="H170:H172"/>
    <mergeCell ref="I170:I172"/>
    <mergeCell ref="J170:J172"/>
    <mergeCell ref="K170:K172"/>
    <mergeCell ref="L170:L172"/>
    <mergeCell ref="P168:P169"/>
    <mergeCell ref="Q168:V168"/>
    <mergeCell ref="W168:W169"/>
    <mergeCell ref="X168:X169"/>
    <mergeCell ref="A170:A172"/>
    <mergeCell ref="B170:B172"/>
    <mergeCell ref="C170:C172"/>
    <mergeCell ref="D170:D172"/>
    <mergeCell ref="E170:E172"/>
    <mergeCell ref="F170:F172"/>
    <mergeCell ref="J168:J169"/>
    <mergeCell ref="K168:K169"/>
    <mergeCell ref="L168:L169"/>
    <mergeCell ref="M168:M169"/>
    <mergeCell ref="N168:N169"/>
    <mergeCell ref="O168:O169"/>
    <mergeCell ref="A168:A169"/>
    <mergeCell ref="B168:B169"/>
    <mergeCell ref="C168:C169"/>
    <mergeCell ref="D168:D169"/>
    <mergeCell ref="E168:H168"/>
    <mergeCell ref="I168:I169"/>
    <mergeCell ref="A164:X164"/>
    <mergeCell ref="A165:A167"/>
    <mergeCell ref="B165:N167"/>
    <mergeCell ref="O165:R165"/>
    <mergeCell ref="S165:X165"/>
    <mergeCell ref="O166:R166"/>
    <mergeCell ref="S166:X166"/>
    <mergeCell ref="O167:R167"/>
    <mergeCell ref="S167:X167"/>
    <mergeCell ref="M160:M162"/>
    <mergeCell ref="N160:N162"/>
    <mergeCell ref="O160:O162"/>
    <mergeCell ref="P160:P162"/>
    <mergeCell ref="W160:W162"/>
    <mergeCell ref="X160:X162"/>
    <mergeCell ref="G160:G162"/>
    <mergeCell ref="H160:H162"/>
    <mergeCell ref="I160:I162"/>
    <mergeCell ref="J160:J162"/>
    <mergeCell ref="K160:K162"/>
    <mergeCell ref="L160:L162"/>
    <mergeCell ref="A160:A162"/>
    <mergeCell ref="B160:B162"/>
    <mergeCell ref="C160:C162"/>
    <mergeCell ref="D160:D162"/>
    <mergeCell ref="E160:E162"/>
    <mergeCell ref="F160:F162"/>
    <mergeCell ref="M157:M159"/>
    <mergeCell ref="N157:N159"/>
    <mergeCell ref="O157:O159"/>
    <mergeCell ref="P157:P159"/>
    <mergeCell ref="W157:W159"/>
    <mergeCell ref="X157:X159"/>
    <mergeCell ref="G157:G159"/>
    <mergeCell ref="H157:H159"/>
    <mergeCell ref="I157:I159"/>
    <mergeCell ref="J157:J159"/>
    <mergeCell ref="K157:K159"/>
    <mergeCell ref="L157:L159"/>
    <mergeCell ref="P155:P156"/>
    <mergeCell ref="Q155:V155"/>
    <mergeCell ref="W155:W156"/>
    <mergeCell ref="X155:X156"/>
    <mergeCell ref="A157:A159"/>
    <mergeCell ref="B157:B159"/>
    <mergeCell ref="C157:C159"/>
    <mergeCell ref="D157:D159"/>
    <mergeCell ref="E157:E159"/>
    <mergeCell ref="F157:F159"/>
    <mergeCell ref="J155:J156"/>
    <mergeCell ref="K155:K156"/>
    <mergeCell ref="L155:L156"/>
    <mergeCell ref="M155:M156"/>
    <mergeCell ref="N155:N156"/>
    <mergeCell ref="O155:O156"/>
    <mergeCell ref="A155:A156"/>
    <mergeCell ref="B155:B156"/>
    <mergeCell ref="C155:C156"/>
    <mergeCell ref="D155:D156"/>
    <mergeCell ref="E155:H155"/>
    <mergeCell ref="I155:I156"/>
    <mergeCell ref="A152:A154"/>
    <mergeCell ref="B152:N154"/>
    <mergeCell ref="O152:R152"/>
    <mergeCell ref="S152:X152"/>
    <mergeCell ref="O153:R153"/>
    <mergeCell ref="S153:X153"/>
    <mergeCell ref="O154:R154"/>
    <mergeCell ref="S154:X154"/>
    <mergeCell ref="M148:M150"/>
    <mergeCell ref="N148:N150"/>
    <mergeCell ref="O148:O150"/>
    <mergeCell ref="P148:P150"/>
    <mergeCell ref="W148:W150"/>
    <mergeCell ref="X148:X150"/>
    <mergeCell ref="G148:G150"/>
    <mergeCell ref="H148:H150"/>
    <mergeCell ref="I148:I150"/>
    <mergeCell ref="J148:J150"/>
    <mergeCell ref="K148:K150"/>
    <mergeCell ref="L148:L150"/>
    <mergeCell ref="A148:A150"/>
    <mergeCell ref="B148:B150"/>
    <mergeCell ref="C148:C150"/>
    <mergeCell ref="D148:D150"/>
    <mergeCell ref="E148:E150"/>
    <mergeCell ref="F148:F150"/>
    <mergeCell ref="M145:M147"/>
    <mergeCell ref="N145:N147"/>
    <mergeCell ref="O145:O147"/>
    <mergeCell ref="P145:P147"/>
    <mergeCell ref="W145:W147"/>
    <mergeCell ref="X145:X147"/>
    <mergeCell ref="G145:G147"/>
    <mergeCell ref="H145:H147"/>
    <mergeCell ref="I145:I147"/>
    <mergeCell ref="J145:J147"/>
    <mergeCell ref="K145:K147"/>
    <mergeCell ref="L145:L147"/>
    <mergeCell ref="P143:P144"/>
    <mergeCell ref="Q143:V143"/>
    <mergeCell ref="W143:W144"/>
    <mergeCell ref="X143:X144"/>
    <mergeCell ref="A145:A147"/>
    <mergeCell ref="B145:B147"/>
    <mergeCell ref="C145:C147"/>
    <mergeCell ref="D145:D147"/>
    <mergeCell ref="E145:E147"/>
    <mergeCell ref="F145:F147"/>
    <mergeCell ref="J143:J144"/>
    <mergeCell ref="K143:K144"/>
    <mergeCell ref="L143:L144"/>
    <mergeCell ref="M143:M144"/>
    <mergeCell ref="N143:N144"/>
    <mergeCell ref="O143:O144"/>
    <mergeCell ref="A143:A144"/>
    <mergeCell ref="B143:B144"/>
    <mergeCell ref="C143:C144"/>
    <mergeCell ref="D143:D144"/>
    <mergeCell ref="E143:H143"/>
    <mergeCell ref="I143:I144"/>
    <mergeCell ref="A140:A142"/>
    <mergeCell ref="B140:N142"/>
    <mergeCell ref="O140:R140"/>
    <mergeCell ref="S140:X140"/>
    <mergeCell ref="O141:R141"/>
    <mergeCell ref="S141:X141"/>
    <mergeCell ref="O142:R142"/>
    <mergeCell ref="S142:X142"/>
    <mergeCell ref="M136:M138"/>
    <mergeCell ref="N136:N138"/>
    <mergeCell ref="O136:O138"/>
    <mergeCell ref="P136:P138"/>
    <mergeCell ref="W136:W138"/>
    <mergeCell ref="X136:X138"/>
    <mergeCell ref="G136:G138"/>
    <mergeCell ref="H136:H138"/>
    <mergeCell ref="I136:I138"/>
    <mergeCell ref="J136:J138"/>
    <mergeCell ref="K136:K138"/>
    <mergeCell ref="L136:L138"/>
    <mergeCell ref="A136:A138"/>
    <mergeCell ref="B136:B138"/>
    <mergeCell ref="C136:C138"/>
    <mergeCell ref="D136:D138"/>
    <mergeCell ref="E136:E138"/>
    <mergeCell ref="F136:F138"/>
    <mergeCell ref="M133:M135"/>
    <mergeCell ref="N133:N135"/>
    <mergeCell ref="O133:O135"/>
    <mergeCell ref="P133:P135"/>
    <mergeCell ref="W133:W135"/>
    <mergeCell ref="X133:X135"/>
    <mergeCell ref="G133:G135"/>
    <mergeCell ref="H133:H135"/>
    <mergeCell ref="I133:I135"/>
    <mergeCell ref="J133:J135"/>
    <mergeCell ref="K133:K135"/>
    <mergeCell ref="L133:L135"/>
    <mergeCell ref="P131:P132"/>
    <mergeCell ref="Q131:V131"/>
    <mergeCell ref="W131:W132"/>
    <mergeCell ref="X131:X132"/>
    <mergeCell ref="A133:A135"/>
    <mergeCell ref="B133:B135"/>
    <mergeCell ref="C133:C135"/>
    <mergeCell ref="D133:D135"/>
    <mergeCell ref="E133:E135"/>
    <mergeCell ref="F133:F135"/>
    <mergeCell ref="J131:J132"/>
    <mergeCell ref="K131:K132"/>
    <mergeCell ref="L131:L132"/>
    <mergeCell ref="M131:M132"/>
    <mergeCell ref="N131:N132"/>
    <mergeCell ref="O131:O132"/>
    <mergeCell ref="A131:A132"/>
    <mergeCell ref="B131:B132"/>
    <mergeCell ref="C131:C132"/>
    <mergeCell ref="D131:D132"/>
    <mergeCell ref="E131:H131"/>
    <mergeCell ref="I131:I132"/>
    <mergeCell ref="A128:A130"/>
    <mergeCell ref="B128:N130"/>
    <mergeCell ref="O128:R128"/>
    <mergeCell ref="S128:X128"/>
    <mergeCell ref="O129:R129"/>
    <mergeCell ref="S129:X129"/>
    <mergeCell ref="O130:R130"/>
    <mergeCell ref="S130:X130"/>
    <mergeCell ref="M124:M126"/>
    <mergeCell ref="N124:N126"/>
    <mergeCell ref="O124:O126"/>
    <mergeCell ref="P124:P126"/>
    <mergeCell ref="W124:W126"/>
    <mergeCell ref="X124:X126"/>
    <mergeCell ref="G124:G126"/>
    <mergeCell ref="H124:H126"/>
    <mergeCell ref="I124:I126"/>
    <mergeCell ref="J124:J126"/>
    <mergeCell ref="K124:K126"/>
    <mergeCell ref="L124:L126"/>
    <mergeCell ref="A124:A126"/>
    <mergeCell ref="B124:B126"/>
    <mergeCell ref="C124:C126"/>
    <mergeCell ref="D124:D126"/>
    <mergeCell ref="E124:E126"/>
    <mergeCell ref="F124:F126"/>
    <mergeCell ref="M121:M123"/>
    <mergeCell ref="N121:N123"/>
    <mergeCell ref="O121:O123"/>
    <mergeCell ref="P121:P123"/>
    <mergeCell ref="W121:W123"/>
    <mergeCell ref="X121:X123"/>
    <mergeCell ref="G121:G123"/>
    <mergeCell ref="H121:H123"/>
    <mergeCell ref="I121:I123"/>
    <mergeCell ref="J121:J123"/>
    <mergeCell ref="K121:K123"/>
    <mergeCell ref="L121:L123"/>
    <mergeCell ref="P119:P120"/>
    <mergeCell ref="Q119:V119"/>
    <mergeCell ref="W119:W120"/>
    <mergeCell ref="X119:X120"/>
    <mergeCell ref="A121:A123"/>
    <mergeCell ref="B121:B123"/>
    <mergeCell ref="C121:C123"/>
    <mergeCell ref="D121:D123"/>
    <mergeCell ref="E121:E123"/>
    <mergeCell ref="F121:F123"/>
    <mergeCell ref="J119:J120"/>
    <mergeCell ref="K119:K120"/>
    <mergeCell ref="L119:L120"/>
    <mergeCell ref="M119:M120"/>
    <mergeCell ref="N119:N120"/>
    <mergeCell ref="O119:O120"/>
    <mergeCell ref="A119:A120"/>
    <mergeCell ref="B119:B120"/>
    <mergeCell ref="C119:C120"/>
    <mergeCell ref="D119:D120"/>
    <mergeCell ref="E119:H119"/>
    <mergeCell ref="I119:I120"/>
    <mergeCell ref="A115:X115"/>
    <mergeCell ref="A116:A118"/>
    <mergeCell ref="B116:N118"/>
    <mergeCell ref="O116:R116"/>
    <mergeCell ref="S116:X116"/>
    <mergeCell ref="O117:R117"/>
    <mergeCell ref="S117:X117"/>
    <mergeCell ref="O118:R118"/>
    <mergeCell ref="S118:X118"/>
    <mergeCell ref="M109:M113"/>
    <mergeCell ref="N109:N113"/>
    <mergeCell ref="O109:O113"/>
    <mergeCell ref="P109:P113"/>
    <mergeCell ref="W109:W113"/>
    <mergeCell ref="X109:X113"/>
    <mergeCell ref="G109:G113"/>
    <mergeCell ref="H109:H113"/>
    <mergeCell ref="I109:I113"/>
    <mergeCell ref="J109:J113"/>
    <mergeCell ref="K109:K113"/>
    <mergeCell ref="L109:L113"/>
    <mergeCell ref="A109:A113"/>
    <mergeCell ref="B109:B113"/>
    <mergeCell ref="C109:C113"/>
    <mergeCell ref="D109:D113"/>
    <mergeCell ref="E109:E113"/>
    <mergeCell ref="F109:F113"/>
    <mergeCell ref="M104:M108"/>
    <mergeCell ref="N104:N108"/>
    <mergeCell ref="O104:O108"/>
    <mergeCell ref="P104:P108"/>
    <mergeCell ref="W104:W108"/>
    <mergeCell ref="X104:X108"/>
    <mergeCell ref="G104:G108"/>
    <mergeCell ref="H104:H108"/>
    <mergeCell ref="I104:I108"/>
    <mergeCell ref="J104:J108"/>
    <mergeCell ref="K104:K108"/>
    <mergeCell ref="L104:L108"/>
    <mergeCell ref="A104:A108"/>
    <mergeCell ref="B104:B108"/>
    <mergeCell ref="C104:C108"/>
    <mergeCell ref="D104:D108"/>
    <mergeCell ref="E104:E108"/>
    <mergeCell ref="F104:F108"/>
    <mergeCell ref="M99:M103"/>
    <mergeCell ref="N99:N103"/>
    <mergeCell ref="O99:O103"/>
    <mergeCell ref="P99:P103"/>
    <mergeCell ref="W99:W103"/>
    <mergeCell ref="X99:X103"/>
    <mergeCell ref="G99:G103"/>
    <mergeCell ref="H99:H103"/>
    <mergeCell ref="I99:I103"/>
    <mergeCell ref="J99:J103"/>
    <mergeCell ref="K99:K103"/>
    <mergeCell ref="L99:L103"/>
    <mergeCell ref="A99:A103"/>
    <mergeCell ref="B99:B103"/>
    <mergeCell ref="C99:C103"/>
    <mergeCell ref="D99:D103"/>
    <mergeCell ref="E99:E103"/>
    <mergeCell ref="F99:F103"/>
    <mergeCell ref="M94:M98"/>
    <mergeCell ref="N94:N98"/>
    <mergeCell ref="O94:O98"/>
    <mergeCell ref="P94:P98"/>
    <mergeCell ref="W94:W98"/>
    <mergeCell ref="X94:X98"/>
    <mergeCell ref="G94:G98"/>
    <mergeCell ref="H94:H98"/>
    <mergeCell ref="I94:I98"/>
    <mergeCell ref="J94:J98"/>
    <mergeCell ref="K94:K98"/>
    <mergeCell ref="L94:L98"/>
    <mergeCell ref="A94:A98"/>
    <mergeCell ref="B94:B98"/>
    <mergeCell ref="C94:C98"/>
    <mergeCell ref="D94:D98"/>
    <mergeCell ref="E94:E98"/>
    <mergeCell ref="F94:F98"/>
    <mergeCell ref="M89:M93"/>
    <mergeCell ref="N89:N93"/>
    <mergeCell ref="O89:O93"/>
    <mergeCell ref="P89:P93"/>
    <mergeCell ref="W89:W93"/>
    <mergeCell ref="X89:X93"/>
    <mergeCell ref="G89:G93"/>
    <mergeCell ref="H89:H93"/>
    <mergeCell ref="I89:I93"/>
    <mergeCell ref="J89:J93"/>
    <mergeCell ref="K89:K93"/>
    <mergeCell ref="L89:L93"/>
    <mergeCell ref="P87:P88"/>
    <mergeCell ref="Q87:V87"/>
    <mergeCell ref="W87:W88"/>
    <mergeCell ref="X87:X88"/>
    <mergeCell ref="A89:A93"/>
    <mergeCell ref="B89:B93"/>
    <mergeCell ref="C89:C93"/>
    <mergeCell ref="D89:D93"/>
    <mergeCell ref="E89:E93"/>
    <mergeCell ref="F89:F93"/>
    <mergeCell ref="J87:J88"/>
    <mergeCell ref="K87:K88"/>
    <mergeCell ref="L87:L88"/>
    <mergeCell ref="M87:M88"/>
    <mergeCell ref="N87:N88"/>
    <mergeCell ref="O87:O88"/>
    <mergeCell ref="A87:A88"/>
    <mergeCell ref="B87:B88"/>
    <mergeCell ref="C87:C88"/>
    <mergeCell ref="D87:D88"/>
    <mergeCell ref="E87:H87"/>
    <mergeCell ref="I87:I88"/>
    <mergeCell ref="A84:A86"/>
    <mergeCell ref="B84:N86"/>
    <mergeCell ref="O84:R84"/>
    <mergeCell ref="S84:X84"/>
    <mergeCell ref="O85:R85"/>
    <mergeCell ref="S85:X85"/>
    <mergeCell ref="O86:R86"/>
    <mergeCell ref="S86:X86"/>
    <mergeCell ref="M78:M82"/>
    <mergeCell ref="N78:N82"/>
    <mergeCell ref="O78:O82"/>
    <mergeCell ref="P78:P82"/>
    <mergeCell ref="W78:W82"/>
    <mergeCell ref="X78:X82"/>
    <mergeCell ref="G78:G82"/>
    <mergeCell ref="H78:H82"/>
    <mergeCell ref="I78:I82"/>
    <mergeCell ref="J78:J82"/>
    <mergeCell ref="K78:K82"/>
    <mergeCell ref="L78:L82"/>
    <mergeCell ref="A78:A82"/>
    <mergeCell ref="B78:B82"/>
    <mergeCell ref="C78:C82"/>
    <mergeCell ref="D78:D82"/>
    <mergeCell ref="E78:E82"/>
    <mergeCell ref="F78:F82"/>
    <mergeCell ref="M73:M77"/>
    <mergeCell ref="N73:N77"/>
    <mergeCell ref="O73:O77"/>
    <mergeCell ref="P73:P77"/>
    <mergeCell ref="W73:W77"/>
    <mergeCell ref="X73:X77"/>
    <mergeCell ref="G73:G77"/>
    <mergeCell ref="H73:H77"/>
    <mergeCell ref="I73:I77"/>
    <mergeCell ref="J73:J77"/>
    <mergeCell ref="K73:K77"/>
    <mergeCell ref="L73:L77"/>
    <mergeCell ref="A73:A77"/>
    <mergeCell ref="B73:B77"/>
    <mergeCell ref="C73:C77"/>
    <mergeCell ref="D73:D77"/>
    <mergeCell ref="E73:E77"/>
    <mergeCell ref="F73:F77"/>
    <mergeCell ref="M68:M72"/>
    <mergeCell ref="N68:N72"/>
    <mergeCell ref="O68:O72"/>
    <mergeCell ref="P68:P72"/>
    <mergeCell ref="W68:W72"/>
    <mergeCell ref="X68:X72"/>
    <mergeCell ref="G68:G72"/>
    <mergeCell ref="H68:H72"/>
    <mergeCell ref="I68:I72"/>
    <mergeCell ref="J68:J72"/>
    <mergeCell ref="K68:K72"/>
    <mergeCell ref="L68:L72"/>
    <mergeCell ref="A68:A72"/>
    <mergeCell ref="B68:B72"/>
    <mergeCell ref="C68:C72"/>
    <mergeCell ref="D68:D72"/>
    <mergeCell ref="E68:E72"/>
    <mergeCell ref="F68:F72"/>
    <mergeCell ref="M63:M67"/>
    <mergeCell ref="N63:N67"/>
    <mergeCell ref="O63:O67"/>
    <mergeCell ref="P63:P67"/>
    <mergeCell ref="W63:W67"/>
    <mergeCell ref="X63:X67"/>
    <mergeCell ref="G63:G67"/>
    <mergeCell ref="H63:H67"/>
    <mergeCell ref="I63:I67"/>
    <mergeCell ref="J63:J67"/>
    <mergeCell ref="K63:K67"/>
    <mergeCell ref="L63:L67"/>
    <mergeCell ref="A63:A67"/>
    <mergeCell ref="B63:B67"/>
    <mergeCell ref="C63:C67"/>
    <mergeCell ref="D63:D67"/>
    <mergeCell ref="E63:E67"/>
    <mergeCell ref="F63:F67"/>
    <mergeCell ref="M58:M62"/>
    <mergeCell ref="N58:N62"/>
    <mergeCell ref="O58:O62"/>
    <mergeCell ref="P58:P62"/>
    <mergeCell ref="W58:W62"/>
    <mergeCell ref="X58:X62"/>
    <mergeCell ref="G58:G62"/>
    <mergeCell ref="H58:H62"/>
    <mergeCell ref="I58:I62"/>
    <mergeCell ref="J58:J62"/>
    <mergeCell ref="K58:K62"/>
    <mergeCell ref="L58:L62"/>
    <mergeCell ref="P56:P57"/>
    <mergeCell ref="Q56:V56"/>
    <mergeCell ref="W56:W57"/>
    <mergeCell ref="X56:X57"/>
    <mergeCell ref="A58:A62"/>
    <mergeCell ref="B58:B62"/>
    <mergeCell ref="C58:C62"/>
    <mergeCell ref="D58:D62"/>
    <mergeCell ref="E58:E62"/>
    <mergeCell ref="F58:F62"/>
    <mergeCell ref="J56:J57"/>
    <mergeCell ref="K56:K57"/>
    <mergeCell ref="L56:L57"/>
    <mergeCell ref="M56:M57"/>
    <mergeCell ref="N56:N57"/>
    <mergeCell ref="O56:O57"/>
    <mergeCell ref="A56:A57"/>
    <mergeCell ref="B56:B57"/>
    <mergeCell ref="C56:C57"/>
    <mergeCell ref="D56:D57"/>
    <mergeCell ref="E56:H56"/>
    <mergeCell ref="I56:I57"/>
    <mergeCell ref="X47:X51"/>
    <mergeCell ref="A53:A55"/>
    <mergeCell ref="B53:N55"/>
    <mergeCell ref="O53:R53"/>
    <mergeCell ref="S53:X53"/>
    <mergeCell ref="O54:R54"/>
    <mergeCell ref="S54:X54"/>
    <mergeCell ref="O55:R55"/>
    <mergeCell ref="S55:X55"/>
    <mergeCell ref="L47:L51"/>
    <mergeCell ref="M47:M51"/>
    <mergeCell ref="N47:N51"/>
    <mergeCell ref="O47:O51"/>
    <mergeCell ref="P47:P51"/>
    <mergeCell ref="W47:W51"/>
    <mergeCell ref="F47:F51"/>
    <mergeCell ref="G47:G51"/>
    <mergeCell ref="H47:H51"/>
    <mergeCell ref="I47:I51"/>
    <mergeCell ref="J47:J51"/>
    <mergeCell ref="K47:K51"/>
    <mergeCell ref="N42:N46"/>
    <mergeCell ref="O42:O46"/>
    <mergeCell ref="P42:P46"/>
    <mergeCell ref="W42:W46"/>
    <mergeCell ref="X42:X46"/>
    <mergeCell ref="A47:A51"/>
    <mergeCell ref="B47:B51"/>
    <mergeCell ref="C47:C51"/>
    <mergeCell ref="D47:D51"/>
    <mergeCell ref="E47:E51"/>
    <mergeCell ref="H42:H46"/>
    <mergeCell ref="I42:I46"/>
    <mergeCell ref="J42:J46"/>
    <mergeCell ref="K42:K46"/>
    <mergeCell ref="L42:L46"/>
    <mergeCell ref="M42:M46"/>
    <mergeCell ref="P37:P41"/>
    <mergeCell ref="W37:W41"/>
    <mergeCell ref="X37:X41"/>
    <mergeCell ref="A42:A46"/>
    <mergeCell ref="B42:B46"/>
    <mergeCell ref="C42:C46"/>
    <mergeCell ref="D42:D46"/>
    <mergeCell ref="E42:E46"/>
    <mergeCell ref="F42:F46"/>
    <mergeCell ref="G42:G46"/>
    <mergeCell ref="J37:J41"/>
    <mergeCell ref="K37:K41"/>
    <mergeCell ref="L37:L41"/>
    <mergeCell ref="M37:M41"/>
    <mergeCell ref="N37:N41"/>
    <mergeCell ref="O37:O41"/>
    <mergeCell ref="X32:X36"/>
    <mergeCell ref="A37:A41"/>
    <mergeCell ref="B37:B41"/>
    <mergeCell ref="C37:C41"/>
    <mergeCell ref="D37:D41"/>
    <mergeCell ref="E37:E41"/>
    <mergeCell ref="F37:F41"/>
    <mergeCell ref="G37:G41"/>
    <mergeCell ref="H37:H41"/>
    <mergeCell ref="I37:I41"/>
    <mergeCell ref="L32:L36"/>
    <mergeCell ref="M32:M36"/>
    <mergeCell ref="N32:N36"/>
    <mergeCell ref="O32:O36"/>
    <mergeCell ref="P32:P36"/>
    <mergeCell ref="W32:W36"/>
    <mergeCell ref="F32:F36"/>
    <mergeCell ref="G32:G36"/>
    <mergeCell ref="H32:H36"/>
    <mergeCell ref="I32:I36"/>
    <mergeCell ref="J32:J36"/>
    <mergeCell ref="K32:K36"/>
    <mergeCell ref="N27:N31"/>
    <mergeCell ref="O27:O31"/>
    <mergeCell ref="P27:P31"/>
    <mergeCell ref="W27:W31"/>
    <mergeCell ref="X27:X31"/>
    <mergeCell ref="A32:A36"/>
    <mergeCell ref="B32:B36"/>
    <mergeCell ref="C32:C36"/>
    <mergeCell ref="D32:D36"/>
    <mergeCell ref="E32:E36"/>
    <mergeCell ref="H27:H31"/>
    <mergeCell ref="I27:I31"/>
    <mergeCell ref="J27:J31"/>
    <mergeCell ref="K27:K31"/>
    <mergeCell ref="L27:L31"/>
    <mergeCell ref="M27:M31"/>
    <mergeCell ref="Q25:V25"/>
    <mergeCell ref="W25:W26"/>
    <mergeCell ref="X25:X26"/>
    <mergeCell ref="A27:A31"/>
    <mergeCell ref="B27:B31"/>
    <mergeCell ref="C27:C31"/>
    <mergeCell ref="D27:D31"/>
    <mergeCell ref="E27:E31"/>
    <mergeCell ref="F27:F31"/>
    <mergeCell ref="G27:G31"/>
    <mergeCell ref="K25:K26"/>
    <mergeCell ref="L25:L26"/>
    <mergeCell ref="M25:M26"/>
    <mergeCell ref="N25:N26"/>
    <mergeCell ref="O25:O26"/>
    <mergeCell ref="P25:P26"/>
    <mergeCell ref="A25:A26"/>
    <mergeCell ref="B25:B26"/>
    <mergeCell ref="C25:C26"/>
    <mergeCell ref="D25:H25"/>
    <mergeCell ref="I25:I26"/>
    <mergeCell ref="J25:J26"/>
    <mergeCell ref="A21:X21"/>
    <mergeCell ref="A22:A24"/>
    <mergeCell ref="B22:N24"/>
    <mergeCell ref="O22:R22"/>
    <mergeCell ref="S22:X22"/>
    <mergeCell ref="O23:R23"/>
    <mergeCell ref="S23:X23"/>
    <mergeCell ref="O24:R24"/>
    <mergeCell ref="S24:X24"/>
    <mergeCell ref="A19:E19"/>
    <mergeCell ref="F19:L19"/>
    <mergeCell ref="M19:O19"/>
    <mergeCell ref="P19:T19"/>
    <mergeCell ref="U19:V19"/>
    <mergeCell ref="W19:X19"/>
    <mergeCell ref="A17:E17"/>
    <mergeCell ref="F17:X17"/>
    <mergeCell ref="A18:C18"/>
    <mergeCell ref="D18:F18"/>
    <mergeCell ref="G18:L18"/>
    <mergeCell ref="M18:O18"/>
    <mergeCell ref="P18:T18"/>
    <mergeCell ref="U18:X18"/>
    <mergeCell ref="Q13:S13"/>
    <mergeCell ref="K14:M14"/>
    <mergeCell ref="A15:E15"/>
    <mergeCell ref="F15:X15"/>
    <mergeCell ref="A16:E16"/>
    <mergeCell ref="F16:X16"/>
    <mergeCell ref="K11:M11"/>
    <mergeCell ref="O11:P11"/>
    <mergeCell ref="Q11:S11"/>
    <mergeCell ref="T11:X11"/>
    <mergeCell ref="K12:M12"/>
    <mergeCell ref="O12:P12"/>
    <mergeCell ref="Q12:S12"/>
    <mergeCell ref="T12:X13"/>
    <mergeCell ref="K13:M13"/>
    <mergeCell ref="O13:P13"/>
    <mergeCell ref="Q8:S8"/>
    <mergeCell ref="T8:X8"/>
    <mergeCell ref="K9:M9"/>
    <mergeCell ref="O9:P9"/>
    <mergeCell ref="Q9:S9"/>
    <mergeCell ref="T9:X10"/>
    <mergeCell ref="K10:M10"/>
    <mergeCell ref="O10:P10"/>
    <mergeCell ref="Q10:S10"/>
    <mergeCell ref="K6:M6"/>
    <mergeCell ref="A7:B7"/>
    <mergeCell ref="C7:E7"/>
    <mergeCell ref="F7:J7"/>
    <mergeCell ref="K7:X7"/>
    <mergeCell ref="A8:B13"/>
    <mergeCell ref="C8:E13"/>
    <mergeCell ref="F8:J13"/>
    <mergeCell ref="K8:M8"/>
    <mergeCell ref="O8:P8"/>
    <mergeCell ref="A5:E5"/>
    <mergeCell ref="F5:L5"/>
    <mergeCell ref="M5:O5"/>
    <mergeCell ref="P5:T5"/>
    <mergeCell ref="U5:V5"/>
    <mergeCell ref="W5:X5"/>
    <mergeCell ref="A4:E4"/>
    <mergeCell ref="F4:L4"/>
    <mergeCell ref="M4:O4"/>
    <mergeCell ref="P4:T4"/>
    <mergeCell ref="U4:V4"/>
    <mergeCell ref="W4:X4"/>
    <mergeCell ref="A1:X1"/>
    <mergeCell ref="A2:E2"/>
    <mergeCell ref="F2:X2"/>
    <mergeCell ref="A3:E3"/>
    <mergeCell ref="F3:L3"/>
    <mergeCell ref="M3:O3"/>
    <mergeCell ref="P3:T3"/>
    <mergeCell ref="U3:V3"/>
    <mergeCell ref="W3:X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López Toscano</dc:creator>
  <cp:lastModifiedBy>Carlos López Toscano</cp:lastModifiedBy>
  <dcterms:created xsi:type="dcterms:W3CDTF">2022-11-29T17:04:03Z</dcterms:created>
  <dcterms:modified xsi:type="dcterms:W3CDTF">2022-11-29T17:04:59Z</dcterms:modified>
</cp:coreProperties>
</file>